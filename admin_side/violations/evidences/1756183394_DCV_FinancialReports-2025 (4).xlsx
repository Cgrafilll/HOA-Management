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8_{46EFA970-0A92-4CC4-A975-2D863BC946BB}" xr6:coauthVersionLast="36" xr6:coauthVersionMax="36" xr10:uidLastSave="{00000000-0000-0000-0000-000000000000}"/>
  <bookViews>
    <workbookView xWindow="-111" yWindow="-111" windowWidth="23254" windowHeight="12454" firstSheet="33" activeTab="37" xr2:uid="{00000000-000D-0000-FFFF-FFFF00000000}"/>
  </bookViews>
  <sheets>
    <sheet name="Jan_2024_FinancialReport" sheetId="37" r:id="rId1"/>
    <sheet name="Jan. 2024_AckReceipt" sheetId="22" r:id="rId2"/>
    <sheet name="FEB_2024_Sched A" sheetId="39" r:id="rId3"/>
    <sheet name="FEB_2024_FR" sheetId="36" r:id="rId4"/>
    <sheet name="Mar_2024_FR" sheetId="41" r:id="rId5"/>
    <sheet name="Mar_2024_Sched A" sheetId="40" r:id="rId6"/>
    <sheet name="April_2024_FR" sheetId="42" r:id="rId7"/>
    <sheet name="April_2024_Sched A" sheetId="43" r:id="rId8"/>
    <sheet name="May-2024_FR" sheetId="44" r:id="rId9"/>
    <sheet name="May-2024-Sched A" sheetId="45" r:id="rId10"/>
    <sheet name="June-2024-FR" sheetId="46" r:id="rId11"/>
    <sheet name="June-2024-SchedA" sheetId="47" r:id="rId12"/>
    <sheet name="July-2024-FR" sheetId="48" r:id="rId13"/>
    <sheet name="July-2024-Sched A" sheetId="49" r:id="rId14"/>
    <sheet name="Aug-2024-FR" sheetId="51" r:id="rId15"/>
    <sheet name="Aug-2024-Sched A" sheetId="50" r:id="rId16"/>
    <sheet name="Sept-2024-FR" sheetId="52" r:id="rId17"/>
    <sheet name="Sept-2024-Sched A" sheetId="53" r:id="rId18"/>
    <sheet name="Oct-2024-FR" sheetId="56" r:id="rId19"/>
    <sheet name="Oct-2024-Sched A" sheetId="55" r:id="rId20"/>
    <sheet name="Oct - Fiesta-details" sheetId="58" r:id="rId21"/>
    <sheet name="Nov-2024-FR" sheetId="57" r:id="rId22"/>
    <sheet name="Nov-2024-Sched A" sheetId="54" r:id="rId23"/>
    <sheet name="Dec-2024-FR" sheetId="59" r:id="rId24"/>
    <sheet name="Dec-2024-Sched A" sheetId="60" r:id="rId25"/>
    <sheet name="Jan-2025-FR" sheetId="61" r:id="rId26"/>
    <sheet name="Jan-2025-Sched A" sheetId="62" r:id="rId27"/>
    <sheet name="Feb- 2025-FR" sheetId="64" r:id="rId28"/>
    <sheet name="Feb-2025-Sched A" sheetId="63" r:id="rId29"/>
    <sheet name="March-2025-FR" sheetId="65" r:id="rId30"/>
    <sheet name="Mar 2025 Sched A" sheetId="66" r:id="rId31"/>
    <sheet name="Apr-2025-FR" sheetId="67" r:id="rId32"/>
    <sheet name="Apr 2025 Sched A" sheetId="68" r:id="rId33"/>
    <sheet name="May-2025-FR" sheetId="70" r:id="rId34"/>
    <sheet name="May 2025 Sched A" sheetId="69" r:id="rId35"/>
    <sheet name="Jun 2025 FR" sheetId="71" r:id="rId36"/>
    <sheet name="June 2025 Sched A" sheetId="72" r:id="rId37"/>
    <sheet name="July 2025 FR" sheetId="73" r:id="rId38"/>
    <sheet name="July 2025 Sched A" sheetId="74" r:id="rId39"/>
    <sheet name="April 2021" sheetId="25" r:id="rId40"/>
    <sheet name="May 2021" sheetId="26" r:id="rId41"/>
    <sheet name="June 2022" sheetId="27" r:id="rId42"/>
    <sheet name="July 2022" sheetId="28" r:id="rId43"/>
    <sheet name="Aug. 2022" sheetId="29" r:id="rId44"/>
    <sheet name="Sept. 2022" sheetId="30" r:id="rId45"/>
    <sheet name="Oct. 2023" sheetId="31" r:id="rId46"/>
    <sheet name="Nov. 2023" sheetId="32" r:id="rId47"/>
    <sheet name="Dec. 2023" sheetId="33" r:id="rId48"/>
    <sheet name="Sheet1" sheetId="34" r:id="rId49"/>
  </sheets>
  <externalReferences>
    <externalReference r:id="rId50"/>
  </externalReferences>
  <definedNames>
    <definedName name="_xlnm.Print_Titles" localSheetId="23">'Dec-2024-FR'!$6:$10</definedName>
    <definedName name="_xlnm.Print_Titles" localSheetId="24">'Dec-2024-Sched A'!$9:$10</definedName>
  </definedNames>
  <calcPr calcId="191029"/>
</workbook>
</file>

<file path=xl/calcChain.xml><?xml version="1.0" encoding="utf-8"?>
<calcChain xmlns="http://schemas.openxmlformats.org/spreadsheetml/2006/main">
  <c r="M78" i="73" l="1"/>
  <c r="M80" i="73" s="1"/>
  <c r="P70" i="73"/>
  <c r="M70" i="73"/>
  <c r="M55" i="73"/>
  <c r="J33" i="73"/>
  <c r="I33" i="73"/>
  <c r="H33" i="73"/>
  <c r="K31" i="73"/>
  <c r="K30" i="73"/>
  <c r="K29" i="73"/>
  <c r="K28" i="73"/>
  <c r="K27" i="73"/>
  <c r="K26" i="73"/>
  <c r="K20" i="73"/>
  <c r="K19" i="73"/>
  <c r="K18" i="73"/>
  <c r="K17" i="73"/>
  <c r="D42" i="74"/>
  <c r="F69" i="74"/>
  <c r="K54" i="74"/>
  <c r="J54" i="74"/>
  <c r="L53" i="74"/>
  <c r="G53" i="74"/>
  <c r="I53" i="74" s="1"/>
  <c r="L46" i="74"/>
  <c r="L45" i="74"/>
  <c r="L44" i="74"/>
  <c r="G44" i="74"/>
  <c r="I44" i="74" s="1"/>
  <c r="D39" i="74"/>
  <c r="D40" i="74" s="1"/>
  <c r="D41" i="74" s="1"/>
  <c r="L37" i="74"/>
  <c r="G37" i="74"/>
  <c r="I37" i="74" s="1"/>
  <c r="D32" i="74"/>
  <c r="D33" i="74" s="1"/>
  <c r="D34" i="74" s="1"/>
  <c r="D35" i="74" s="1"/>
  <c r="D36" i="74" s="1"/>
  <c r="L30" i="74"/>
  <c r="G30" i="74"/>
  <c r="I30" i="74" s="1"/>
  <c r="D22" i="74"/>
  <c r="D23" i="74" s="1"/>
  <c r="D24" i="74" s="1"/>
  <c r="D25" i="74" s="1"/>
  <c r="D26" i="74" s="1"/>
  <c r="L20" i="74"/>
  <c r="G20" i="74"/>
  <c r="I20" i="74" s="1"/>
  <c r="D13" i="74"/>
  <c r="D14" i="74" s="1"/>
  <c r="D15" i="74" s="1"/>
  <c r="D16" i="74" s="1"/>
  <c r="D17" i="74" s="1"/>
  <c r="D18" i="74" s="1"/>
  <c r="D19" i="74" s="1"/>
  <c r="K33" i="73" l="1"/>
  <c r="O33" i="73" s="1"/>
  <c r="L54" i="74"/>
  <c r="I54" i="74"/>
  <c r="G54" i="74"/>
  <c r="M44" i="71"/>
  <c r="M38" i="73" l="1"/>
  <c r="M42" i="73" s="1"/>
  <c r="M66" i="73" s="1"/>
  <c r="M72" i="73" s="1"/>
  <c r="M40" i="73"/>
  <c r="G52" i="72"/>
  <c r="I52" i="72" s="1"/>
  <c r="D35" i="72"/>
  <c r="D36" i="72" s="1"/>
  <c r="D37" i="72" s="1"/>
  <c r="D38" i="72" s="1"/>
  <c r="D39" i="72" s="1"/>
  <c r="D40" i="72" s="1"/>
  <c r="D41" i="72" s="1"/>
  <c r="D42" i="72" s="1"/>
  <c r="D16" i="72"/>
  <c r="D17" i="72" s="1"/>
  <c r="D18" i="72" s="1"/>
  <c r="D19" i="72" s="1"/>
  <c r="D20" i="72" s="1"/>
  <c r="D21" i="72" s="1"/>
  <c r="G43" i="72"/>
  <c r="I43" i="72" s="1"/>
  <c r="K21" i="71"/>
  <c r="K20" i="71"/>
  <c r="K19" i="71"/>
  <c r="F67" i="72"/>
  <c r="K53" i="72"/>
  <c r="J53" i="72"/>
  <c r="L52" i="72"/>
  <c r="L45" i="72"/>
  <c r="D45" i="72"/>
  <c r="D46" i="72" s="1"/>
  <c r="D47" i="72" s="1"/>
  <c r="D48" i="72" s="1"/>
  <c r="D49" i="72" s="1"/>
  <c r="D50" i="72" s="1"/>
  <c r="L44" i="72"/>
  <c r="L43" i="72"/>
  <c r="L33" i="72"/>
  <c r="G33" i="72"/>
  <c r="I33" i="72" s="1"/>
  <c r="D27" i="72"/>
  <c r="D28" i="72" s="1"/>
  <c r="D29" i="72" s="1"/>
  <c r="D30" i="72" s="1"/>
  <c r="D31" i="72" s="1"/>
  <c r="D32" i="72" s="1"/>
  <c r="L25" i="72"/>
  <c r="G25" i="72"/>
  <c r="I25" i="72" s="1"/>
  <c r="L14" i="72"/>
  <c r="G14" i="72"/>
  <c r="I14" i="72" s="1"/>
  <c r="D11" i="72"/>
  <c r="D12" i="72" s="1"/>
  <c r="D13" i="72" s="1"/>
  <c r="M82" i="71"/>
  <c r="P72" i="71"/>
  <c r="M72" i="71"/>
  <c r="M57" i="71"/>
  <c r="J35" i="71"/>
  <c r="I35" i="71"/>
  <c r="K33" i="71"/>
  <c r="K32" i="71"/>
  <c r="K31" i="71"/>
  <c r="K30" i="71"/>
  <c r="K29" i="71"/>
  <c r="K28" i="71"/>
  <c r="K22" i="71"/>
  <c r="H35" i="71"/>
  <c r="K18" i="71"/>
  <c r="H19" i="70"/>
  <c r="G53" i="72" l="1"/>
  <c r="L53" i="72"/>
  <c r="K35" i="71"/>
  <c r="O35" i="71" s="1"/>
  <c r="I53" i="72"/>
  <c r="M80" i="70"/>
  <c r="M56" i="70"/>
  <c r="O19" i="70"/>
  <c r="M40" i="71" l="1"/>
  <c r="M42" i="71"/>
  <c r="M68" i="71" s="1"/>
  <c r="M74" i="71" s="1"/>
  <c r="F72" i="69"/>
  <c r="K54" i="69"/>
  <c r="J54" i="69"/>
  <c r="L53" i="69"/>
  <c r="G53" i="69"/>
  <c r="L49" i="69"/>
  <c r="D49" i="69"/>
  <c r="D50" i="69" s="1"/>
  <c r="D51" i="69" s="1"/>
  <c r="D52" i="69" s="1"/>
  <c r="L48" i="69"/>
  <c r="L47" i="69"/>
  <c r="G47" i="69"/>
  <c r="L40" i="69"/>
  <c r="G40" i="69"/>
  <c r="I40" i="69" s="1"/>
  <c r="D36" i="69"/>
  <c r="D37" i="69" s="1"/>
  <c r="D38" i="69" s="1"/>
  <c r="D39" i="69" s="1"/>
  <c r="L34" i="69"/>
  <c r="G34" i="69"/>
  <c r="I34" i="69" s="1"/>
  <c r="D24" i="69"/>
  <c r="D25" i="69" s="1"/>
  <c r="D26" i="69" s="1"/>
  <c r="D27" i="69" s="1"/>
  <c r="D28" i="69" s="1"/>
  <c r="D29" i="69" s="1"/>
  <c r="D30" i="69" s="1"/>
  <c r="L22" i="69"/>
  <c r="G22" i="69"/>
  <c r="I22" i="69" s="1"/>
  <c r="D15" i="69"/>
  <c r="M82" i="70"/>
  <c r="P72" i="70"/>
  <c r="M72" i="70"/>
  <c r="J33" i="70"/>
  <c r="I33" i="70"/>
  <c r="H33" i="70"/>
  <c r="K31" i="70"/>
  <c r="K30" i="70"/>
  <c r="K29" i="70"/>
  <c r="K28" i="70"/>
  <c r="K27" i="70"/>
  <c r="K26" i="70"/>
  <c r="K20" i="70"/>
  <c r="K19" i="70"/>
  <c r="K18" i="70"/>
  <c r="M80" i="67"/>
  <c r="M82" i="67" s="1"/>
  <c r="P72" i="67"/>
  <c r="M72" i="67"/>
  <c r="M66" i="67"/>
  <c r="J33" i="67"/>
  <c r="I33" i="67"/>
  <c r="H33" i="67"/>
  <c r="K31" i="67"/>
  <c r="K30" i="67"/>
  <c r="K29" i="67"/>
  <c r="K28" i="67"/>
  <c r="K27" i="67"/>
  <c r="K26" i="67"/>
  <c r="K20" i="67"/>
  <c r="K19" i="67"/>
  <c r="K18" i="67"/>
  <c r="K33" i="70" l="1"/>
  <c r="P33" i="70" s="1"/>
  <c r="D16" i="69"/>
  <c r="D17" i="69" s="1"/>
  <c r="D18" i="69" s="1"/>
  <c r="D19" i="69" s="1"/>
  <c r="D20" i="69" s="1"/>
  <c r="D21" i="69" s="1"/>
  <c r="G54" i="69"/>
  <c r="L54" i="69"/>
  <c r="I47" i="69"/>
  <c r="I54" i="69" s="1"/>
  <c r="K39" i="70" s="1"/>
  <c r="K33" i="67"/>
  <c r="F67" i="68"/>
  <c r="K49" i="68"/>
  <c r="J49" i="68"/>
  <c r="L48" i="68"/>
  <c r="G48" i="68"/>
  <c r="L44" i="68"/>
  <c r="D44" i="68"/>
  <c r="D45" i="68" s="1"/>
  <c r="D46" i="68" s="1"/>
  <c r="D47" i="68" s="1"/>
  <c r="L43" i="68"/>
  <c r="L42" i="68"/>
  <c r="G42" i="68"/>
  <c r="I42" i="68" s="1"/>
  <c r="D37" i="68"/>
  <c r="D38" i="68" s="1"/>
  <c r="D39" i="68" s="1"/>
  <c r="D40" i="68" s="1"/>
  <c r="D41" i="68" s="1"/>
  <c r="L35" i="68"/>
  <c r="G35" i="68"/>
  <c r="I35" i="68" s="1"/>
  <c r="D30" i="68"/>
  <c r="D31" i="68" s="1"/>
  <c r="D32" i="68" s="1"/>
  <c r="L28" i="68"/>
  <c r="G28" i="68"/>
  <c r="I28" i="68" s="1"/>
  <c r="D21" i="68"/>
  <c r="D22" i="68" s="1"/>
  <c r="D23" i="68" s="1"/>
  <c r="L19" i="68"/>
  <c r="G19" i="68"/>
  <c r="I19" i="68" s="1"/>
  <c r="D15" i="68"/>
  <c r="D47" i="66"/>
  <c r="D48" i="66" s="1"/>
  <c r="D49" i="66" s="1"/>
  <c r="D50" i="66" s="1"/>
  <c r="D42" i="66"/>
  <c r="D43" i="66" s="1"/>
  <c r="D44" i="66" s="1"/>
  <c r="D15" i="66"/>
  <c r="D16" i="66" s="1"/>
  <c r="D17" i="66" s="1"/>
  <c r="D18" i="66" s="1"/>
  <c r="D19" i="66" s="1"/>
  <c r="D20" i="66" s="1"/>
  <c r="D21" i="66" s="1"/>
  <c r="K52" i="66"/>
  <c r="J52" i="66"/>
  <c r="G51" i="66"/>
  <c r="M78" i="65"/>
  <c r="M80" i="65" s="1"/>
  <c r="K26" i="65"/>
  <c r="F70" i="66"/>
  <c r="L51" i="66"/>
  <c r="L47" i="66"/>
  <c r="L46" i="66"/>
  <c r="L45" i="66"/>
  <c r="G45" i="66"/>
  <c r="I45" i="66" s="1"/>
  <c r="D40" i="66"/>
  <c r="D41" i="66" s="1"/>
  <c r="L38" i="66"/>
  <c r="G38" i="66"/>
  <c r="I38" i="66" s="1"/>
  <c r="D32" i="66"/>
  <c r="D33" i="66" s="1"/>
  <c r="D34" i="66" s="1"/>
  <c r="D35" i="66" s="1"/>
  <c r="D36" i="66" s="1"/>
  <c r="L30" i="66"/>
  <c r="G30" i="66"/>
  <c r="I30" i="66" s="1"/>
  <c r="D24" i="66"/>
  <c r="D25" i="66" s="1"/>
  <c r="D26" i="66" s="1"/>
  <c r="D27" i="66" s="1"/>
  <c r="D28" i="66" s="1"/>
  <c r="D29" i="66" s="1"/>
  <c r="L22" i="66"/>
  <c r="G22" i="66"/>
  <c r="P70" i="65"/>
  <c r="M70" i="65"/>
  <c r="M43" i="65"/>
  <c r="J33" i="65"/>
  <c r="I33" i="65"/>
  <c r="H33" i="65"/>
  <c r="K31" i="65"/>
  <c r="K30" i="65"/>
  <c r="K29" i="65"/>
  <c r="K28" i="65"/>
  <c r="K27" i="65"/>
  <c r="K20" i="65"/>
  <c r="K19" i="65"/>
  <c r="K18" i="65"/>
  <c r="G17" i="62"/>
  <c r="G51" i="62"/>
  <c r="D33" i="68" l="1"/>
  <c r="D34" i="68" s="1"/>
  <c r="D16" i="68"/>
  <c r="D17" i="68"/>
  <c r="L49" i="68"/>
  <c r="G49" i="68"/>
  <c r="I49" i="68"/>
  <c r="L52" i="66"/>
  <c r="G52" i="66"/>
  <c r="M64" i="65"/>
  <c r="K33" i="65"/>
  <c r="I22" i="66"/>
  <c r="I52" i="66" s="1"/>
  <c r="G18" i="63"/>
  <c r="M59" i="61"/>
  <c r="Q67" i="64"/>
  <c r="K47" i="64"/>
  <c r="K45" i="64"/>
  <c r="M73" i="64"/>
  <c r="K39" i="67" l="1"/>
  <c r="M41" i="67" s="1"/>
  <c r="M44" i="67" s="1"/>
  <c r="M68" i="67" s="1"/>
  <c r="M74" i="67" s="1"/>
  <c r="P74" i="67" s="1"/>
  <c r="Q74" i="67" s="1"/>
  <c r="M41" i="70"/>
  <c r="M44" i="70" s="1"/>
  <c r="O73" i="62"/>
  <c r="K19" i="61"/>
  <c r="K68" i="63"/>
  <c r="J68" i="63"/>
  <c r="L33" i="63"/>
  <c r="M75" i="64"/>
  <c r="P76" i="64" s="1"/>
  <c r="P65" i="64"/>
  <c r="M65" i="64"/>
  <c r="M59" i="64"/>
  <c r="M37" i="64"/>
  <c r="J27" i="64"/>
  <c r="I27" i="64"/>
  <c r="H27" i="64"/>
  <c r="K25" i="64"/>
  <c r="K24" i="64"/>
  <c r="K23" i="64"/>
  <c r="K22" i="64"/>
  <c r="K21" i="64"/>
  <c r="K20" i="64"/>
  <c r="K19" i="64"/>
  <c r="K18" i="64"/>
  <c r="M68" i="70" l="1"/>
  <c r="M74" i="70" s="1"/>
  <c r="P74" i="70" s="1"/>
  <c r="K27" i="64"/>
  <c r="P27" i="64" s="1"/>
  <c r="G35" i="63" l="1"/>
  <c r="I35" i="63" s="1"/>
  <c r="F86" i="63"/>
  <c r="I67" i="63"/>
  <c r="L66" i="63"/>
  <c r="G66" i="63"/>
  <c r="I66" i="63" s="1"/>
  <c r="D60" i="63"/>
  <c r="D61" i="63" s="1"/>
  <c r="D62" i="63" s="1"/>
  <c r="D63" i="63" s="1"/>
  <c r="D64" i="63" s="1"/>
  <c r="D65" i="63" s="1"/>
  <c r="L58" i="63"/>
  <c r="G58" i="63"/>
  <c r="I58" i="63" s="1"/>
  <c r="D52" i="63"/>
  <c r="D53" i="63" s="1"/>
  <c r="D54" i="63" s="1"/>
  <c r="D55" i="63" s="1"/>
  <c r="D56" i="63" s="1"/>
  <c r="D57" i="63" s="1"/>
  <c r="G50" i="63"/>
  <c r="I50" i="63" s="1"/>
  <c r="D49" i="63"/>
  <c r="L47" i="63"/>
  <c r="G47" i="63"/>
  <c r="I47" i="63" s="1"/>
  <c r="L46" i="63"/>
  <c r="L42" i="63"/>
  <c r="L41" i="63"/>
  <c r="L40" i="63"/>
  <c r="G40" i="63"/>
  <c r="I40" i="63" s="1"/>
  <c r="D37" i="63"/>
  <c r="D38" i="63" s="1"/>
  <c r="D39" i="63" s="1"/>
  <c r="G33" i="63"/>
  <c r="I33" i="63" s="1"/>
  <c r="D27" i="63"/>
  <c r="D28" i="63" s="1"/>
  <c r="D29" i="63" s="1"/>
  <c r="D30" i="63" s="1"/>
  <c r="D31" i="63" s="1"/>
  <c r="D32" i="63" s="1"/>
  <c r="L25" i="63"/>
  <c r="G25" i="63"/>
  <c r="I25" i="63" s="1"/>
  <c r="D21" i="63"/>
  <c r="D22" i="63" s="1"/>
  <c r="D23" i="63" s="1"/>
  <c r="D24" i="63" s="1"/>
  <c r="L19" i="63"/>
  <c r="G19" i="63"/>
  <c r="I19" i="63" s="1"/>
  <c r="D15" i="63"/>
  <c r="M60" i="61"/>
  <c r="M62" i="61" s="1"/>
  <c r="P63" i="61" s="1"/>
  <c r="P52" i="61"/>
  <c r="M52" i="61"/>
  <c r="M46" i="61"/>
  <c r="K73" i="62"/>
  <c r="J73" i="62"/>
  <c r="G52" i="62"/>
  <c r="I52" i="62" s="1"/>
  <c r="L52" i="62"/>
  <c r="D48" i="62"/>
  <c r="D49" i="62" s="1"/>
  <c r="D50" i="62" s="1"/>
  <c r="G46" i="62"/>
  <c r="I46" i="62" s="1"/>
  <c r="D40" i="62"/>
  <c r="D41" i="62" s="1"/>
  <c r="D42" i="62" s="1"/>
  <c r="D43" i="62" s="1"/>
  <c r="D44" i="62" s="1"/>
  <c r="D45" i="62" s="1"/>
  <c r="F85" i="62"/>
  <c r="I72" i="62"/>
  <c r="L71" i="62"/>
  <c r="G71" i="62"/>
  <c r="I71" i="62" s="1"/>
  <c r="D65" i="62"/>
  <c r="D66" i="62" s="1"/>
  <c r="D67" i="62" s="1"/>
  <c r="D68" i="62" s="1"/>
  <c r="D69" i="62" s="1"/>
  <c r="D70" i="62" s="1"/>
  <c r="L63" i="62"/>
  <c r="G63" i="62"/>
  <c r="I63" i="62" s="1"/>
  <c r="D57" i="62"/>
  <c r="D58" i="62" s="1"/>
  <c r="D59" i="62" s="1"/>
  <c r="D60" i="62" s="1"/>
  <c r="D61" i="62" s="1"/>
  <c r="D62" i="62" s="1"/>
  <c r="G55" i="62"/>
  <c r="I55" i="62" s="1"/>
  <c r="D54" i="62"/>
  <c r="L51" i="62"/>
  <c r="L48" i="62"/>
  <c r="L47" i="62"/>
  <c r="L46" i="62"/>
  <c r="L39" i="62"/>
  <c r="L38" i="62"/>
  <c r="G38" i="62"/>
  <c r="I38" i="62" s="1"/>
  <c r="L37" i="62"/>
  <c r="L35" i="62"/>
  <c r="L34" i="62"/>
  <c r="L33" i="62"/>
  <c r="L32" i="62"/>
  <c r="L31" i="62"/>
  <c r="L30" i="62"/>
  <c r="D30" i="62"/>
  <c r="D31" i="62" s="1"/>
  <c r="D32" i="62" s="1"/>
  <c r="D33" i="62" s="1"/>
  <c r="D34" i="62" s="1"/>
  <c r="D35" i="62" s="1"/>
  <c r="D36" i="62" s="1"/>
  <c r="D37" i="62" s="1"/>
  <c r="L29" i="62"/>
  <c r="L28" i="62"/>
  <c r="G28" i="62"/>
  <c r="I28" i="62" s="1"/>
  <c r="D21" i="62"/>
  <c r="D22" i="62" s="1"/>
  <c r="L19" i="62"/>
  <c r="G19" i="62"/>
  <c r="D13" i="62"/>
  <c r="D14" i="62" s="1"/>
  <c r="D15" i="62" s="1"/>
  <c r="D16" i="62" s="1"/>
  <c r="M34" i="61"/>
  <c r="J26" i="61"/>
  <c r="I26" i="61"/>
  <c r="H26" i="61"/>
  <c r="K24" i="61"/>
  <c r="K23" i="61"/>
  <c r="K22" i="61"/>
  <c r="K21" i="61"/>
  <c r="K20" i="61"/>
  <c r="K18" i="61"/>
  <c r="K17" i="61"/>
  <c r="K16" i="61"/>
  <c r="D16" i="63" l="1"/>
  <c r="D17" i="63"/>
  <c r="L68" i="63"/>
  <c r="G68" i="63"/>
  <c r="I19" i="62"/>
  <c r="I73" i="62" s="1"/>
  <c r="I68" i="63"/>
  <c r="K26" i="61"/>
  <c r="P26" i="61" s="1"/>
  <c r="L73" i="62"/>
  <c r="G73" i="62"/>
  <c r="D23" i="62"/>
  <c r="D24" i="62" s="1"/>
  <c r="D25" i="62" s="1"/>
  <c r="D26" i="62" s="1"/>
  <c r="D27" i="62" s="1"/>
  <c r="P102" i="60"/>
  <c r="K33" i="64" l="1"/>
  <c r="M33" i="64" s="1"/>
  <c r="M39" i="65"/>
  <c r="M44" i="65" s="1"/>
  <c r="M66" i="65" s="1"/>
  <c r="M72" i="65" s="1"/>
  <c r="P72" i="65" s="1"/>
  <c r="K30" i="61"/>
  <c r="P30" i="61" s="1"/>
  <c r="M30" i="61" l="1"/>
  <c r="M36" i="61" s="1"/>
  <c r="M48" i="61" s="1"/>
  <c r="M54" i="61" s="1"/>
  <c r="J66" i="60"/>
  <c r="J102" i="60" s="1"/>
  <c r="K102" i="60"/>
  <c r="L80" i="60"/>
  <c r="L79" i="60"/>
  <c r="L78" i="60"/>
  <c r="L77" i="60"/>
  <c r="L76" i="60"/>
  <c r="L75" i="60"/>
  <c r="L74" i="60"/>
  <c r="L73" i="60"/>
  <c r="L72" i="60"/>
  <c r="L71" i="60"/>
  <c r="L70" i="60"/>
  <c r="L69" i="60"/>
  <c r="L68" i="60"/>
  <c r="L67" i="60"/>
  <c r="L65" i="60"/>
  <c r="L64" i="60"/>
  <c r="L63" i="60"/>
  <c r="L62" i="60"/>
  <c r="L61" i="60"/>
  <c r="L60" i="60"/>
  <c r="L59" i="60"/>
  <c r="L58" i="60"/>
  <c r="L57" i="60"/>
  <c r="L56" i="60"/>
  <c r="L55" i="60"/>
  <c r="L54" i="60"/>
  <c r="L53" i="60"/>
  <c r="L52" i="60"/>
  <c r="L51" i="60"/>
  <c r="L50" i="60"/>
  <c r="L49" i="60"/>
  <c r="L48" i="60"/>
  <c r="L47" i="60"/>
  <c r="L46" i="60"/>
  <c r="L44" i="60"/>
  <c r="L43" i="60"/>
  <c r="L42" i="60"/>
  <c r="L41" i="60"/>
  <c r="L40" i="60"/>
  <c r="L39" i="60"/>
  <c r="L38" i="60"/>
  <c r="L37" i="60"/>
  <c r="L36" i="60"/>
  <c r="L35" i="60"/>
  <c r="L34" i="60"/>
  <c r="L33" i="60"/>
  <c r="L32" i="60"/>
  <c r="L31" i="60"/>
  <c r="L30" i="60"/>
  <c r="L29" i="60"/>
  <c r="L28" i="60"/>
  <c r="L27" i="60"/>
  <c r="G37" i="60"/>
  <c r="I37" i="60" s="1"/>
  <c r="G73" i="60"/>
  <c r="I73" i="60" s="1"/>
  <c r="G55" i="60"/>
  <c r="I55" i="60" s="1"/>
  <c r="G50" i="60"/>
  <c r="I50" i="60" s="1"/>
  <c r="G46" i="60"/>
  <c r="I46" i="60" s="1"/>
  <c r="G35" i="60"/>
  <c r="I35" i="60" s="1"/>
  <c r="G41" i="60"/>
  <c r="I41" i="60" s="1"/>
  <c r="G58" i="60"/>
  <c r="I58" i="60" s="1"/>
  <c r="G66" i="60"/>
  <c r="M94" i="59"/>
  <c r="K72" i="59"/>
  <c r="K71" i="59"/>
  <c r="M81" i="59" s="1"/>
  <c r="P81" i="59" s="1"/>
  <c r="K32" i="59"/>
  <c r="K31" i="59"/>
  <c r="K30" i="59"/>
  <c r="K29" i="59"/>
  <c r="K28" i="59"/>
  <c r="K27" i="59"/>
  <c r="K26" i="59"/>
  <c r="K25" i="59"/>
  <c r="K24" i="59"/>
  <c r="K23" i="59"/>
  <c r="K22" i="59"/>
  <c r="K21" i="59"/>
  <c r="G23" i="59"/>
  <c r="G24" i="59" s="1"/>
  <c r="G25" i="59" s="1"/>
  <c r="G26" i="59" s="1"/>
  <c r="G27" i="59" s="1"/>
  <c r="G28" i="59" s="1"/>
  <c r="G29" i="59" s="1"/>
  <c r="G30" i="59" s="1"/>
  <c r="G81" i="60"/>
  <c r="G76" i="60"/>
  <c r="I76" i="60" s="1"/>
  <c r="D74" i="60"/>
  <c r="D75" i="60" s="1"/>
  <c r="D77" i="60" s="1"/>
  <c r="D78" i="60" s="1"/>
  <c r="D79" i="60" s="1"/>
  <c r="D80" i="60" s="1"/>
  <c r="D42" i="60"/>
  <c r="D43" i="60" s="1"/>
  <c r="D44" i="60" s="1"/>
  <c r="D45" i="60" s="1"/>
  <c r="D47" i="60" s="1"/>
  <c r="D48" i="60" s="1"/>
  <c r="D49" i="60" s="1"/>
  <c r="D51" i="60" s="1"/>
  <c r="D52" i="60" s="1"/>
  <c r="D53" i="60" s="1"/>
  <c r="D54" i="60" s="1"/>
  <c r="D56" i="60" s="1"/>
  <c r="D57" i="60" s="1"/>
  <c r="D59" i="60" s="1"/>
  <c r="D60" i="60" s="1"/>
  <c r="D61" i="60" s="1"/>
  <c r="D62" i="60" s="1"/>
  <c r="D63" i="60" s="1"/>
  <c r="D64" i="60" s="1"/>
  <c r="D65" i="60" s="1"/>
  <c r="D67" i="60" s="1"/>
  <c r="D68" i="60" s="1"/>
  <c r="D69" i="60" s="1"/>
  <c r="D70" i="60" s="1"/>
  <c r="D71" i="60" s="1"/>
  <c r="D72" i="60" s="1"/>
  <c r="P54" i="61" l="1"/>
  <c r="M10" i="64"/>
  <c r="M38" i="64" s="1"/>
  <c r="M61" i="64" s="1"/>
  <c r="M67" i="64" s="1"/>
  <c r="I66" i="60"/>
  <c r="L66" i="60"/>
  <c r="M72" i="57"/>
  <c r="P67" i="64" l="1"/>
  <c r="R67" i="64" s="1"/>
  <c r="M52" i="57"/>
  <c r="M48" i="59"/>
  <c r="J38" i="59"/>
  <c r="I38" i="59"/>
  <c r="H38" i="59"/>
  <c r="K36" i="59"/>
  <c r="K35" i="59"/>
  <c r="K34" i="59"/>
  <c r="K33" i="59"/>
  <c r="K20" i="59"/>
  <c r="F123" i="60"/>
  <c r="I101" i="60"/>
  <c r="L100" i="60"/>
  <c r="G100" i="60"/>
  <c r="I100" i="60" s="1"/>
  <c r="D94" i="60"/>
  <c r="D95" i="60" s="1"/>
  <c r="D96" i="60" s="1"/>
  <c r="D97" i="60" s="1"/>
  <c r="D98" i="60" s="1"/>
  <c r="D99" i="60" s="1"/>
  <c r="L92" i="60"/>
  <c r="G92" i="60"/>
  <c r="I92" i="60" s="1"/>
  <c r="D86" i="60"/>
  <c r="D87" i="60" s="1"/>
  <c r="D88" i="60" s="1"/>
  <c r="D89" i="60" s="1"/>
  <c r="D90" i="60" s="1"/>
  <c r="D91" i="60" s="1"/>
  <c r="G84" i="60"/>
  <c r="I84" i="60" s="1"/>
  <c r="D83" i="60"/>
  <c r="L81" i="60"/>
  <c r="I81" i="60"/>
  <c r="D28" i="60"/>
  <c r="D29" i="60" s="1"/>
  <c r="D30" i="60" s="1"/>
  <c r="D31" i="60" s="1"/>
  <c r="D32" i="60" s="1"/>
  <c r="L26" i="60"/>
  <c r="G26" i="60"/>
  <c r="D21" i="60"/>
  <c r="D22" i="60" s="1"/>
  <c r="L19" i="60"/>
  <c r="G19" i="60"/>
  <c r="D13" i="60"/>
  <c r="D14" i="60" s="1"/>
  <c r="D15" i="60" s="1"/>
  <c r="D16" i="60" s="1"/>
  <c r="D17" i="60" s="1"/>
  <c r="D18" i="60" s="1"/>
  <c r="O52" i="55"/>
  <c r="M65" i="55"/>
  <c r="M62" i="55"/>
  <c r="M58" i="55"/>
  <c r="M57" i="55"/>
  <c r="F82" i="58"/>
  <c r="F75" i="58"/>
  <c r="F63" i="58"/>
  <c r="D39" i="58"/>
  <c r="H37" i="58"/>
  <c r="D42" i="58" s="1"/>
  <c r="D37" i="58"/>
  <c r="C34" i="58"/>
  <c r="C33" i="58"/>
  <c r="J32" i="58"/>
  <c r="C32" i="58"/>
  <c r="C31" i="58"/>
  <c r="C23" i="58"/>
  <c r="C22" i="58"/>
  <c r="C19" i="58"/>
  <c r="C15" i="58"/>
  <c r="J14" i="58"/>
  <c r="C14" i="58"/>
  <c r="C11" i="58"/>
  <c r="J8" i="58"/>
  <c r="D38" i="58" l="1"/>
  <c r="D23" i="60"/>
  <c r="D24" i="60"/>
  <c r="L102" i="60"/>
  <c r="G102" i="60"/>
  <c r="I26" i="60"/>
  <c r="D33" i="60"/>
  <c r="D34" i="60" s="1"/>
  <c r="M96" i="59"/>
  <c r="P97" i="59" s="1"/>
  <c r="O38" i="59"/>
  <c r="C39" i="58"/>
  <c r="D40" i="58" s="1"/>
  <c r="D41" i="58" s="1"/>
  <c r="D43" i="58" s="1"/>
  <c r="M67" i="55"/>
  <c r="K38" i="59"/>
  <c r="I19" i="60"/>
  <c r="G52" i="55"/>
  <c r="Q64" i="56"/>
  <c r="R65" i="56" s="1"/>
  <c r="I102" i="60" l="1"/>
  <c r="K44" i="59"/>
  <c r="P48" i="56"/>
  <c r="R48" i="56" s="1"/>
  <c r="P54" i="56"/>
  <c r="R54" i="56" s="1"/>
  <c r="R63" i="56"/>
  <c r="P62" i="56"/>
  <c r="P63" i="56" s="1"/>
  <c r="G53" i="55"/>
  <c r="M59" i="57"/>
  <c r="M36" i="57"/>
  <c r="J26" i="57"/>
  <c r="I26" i="57"/>
  <c r="H26" i="57"/>
  <c r="K24" i="57"/>
  <c r="K23" i="57"/>
  <c r="K22" i="57"/>
  <c r="K21" i="57"/>
  <c r="K20" i="57"/>
  <c r="K19" i="57"/>
  <c r="K18" i="57"/>
  <c r="I54" i="54"/>
  <c r="F71" i="54"/>
  <c r="K55" i="54"/>
  <c r="J55" i="54"/>
  <c r="L53" i="54"/>
  <c r="G53" i="54"/>
  <c r="I53" i="54" s="1"/>
  <c r="D47" i="54"/>
  <c r="D48" i="54" s="1"/>
  <c r="D49" i="54" s="1"/>
  <c r="D50" i="54" s="1"/>
  <c r="D51" i="54" s="1"/>
  <c r="D52" i="54" s="1"/>
  <c r="L45" i="54"/>
  <c r="G45" i="54"/>
  <c r="I45" i="54" s="1"/>
  <c r="D39" i="54"/>
  <c r="D40" i="54" s="1"/>
  <c r="D41" i="54" s="1"/>
  <c r="D42" i="54" s="1"/>
  <c r="D43" i="54" s="1"/>
  <c r="D44" i="54" s="1"/>
  <c r="G37" i="54"/>
  <c r="I37" i="54" s="1"/>
  <c r="D36" i="54"/>
  <c r="L34" i="54"/>
  <c r="G34" i="54"/>
  <c r="I34" i="54" s="1"/>
  <c r="D29" i="54"/>
  <c r="D30" i="54" s="1"/>
  <c r="D31" i="54" s="1"/>
  <c r="D32" i="54" s="1"/>
  <c r="D33" i="54" s="1"/>
  <c r="L27" i="54"/>
  <c r="G27" i="54"/>
  <c r="I27" i="54" s="1"/>
  <c r="D22" i="54"/>
  <c r="D23" i="54" s="1"/>
  <c r="D24" i="54" s="1"/>
  <c r="D25" i="54" s="1"/>
  <c r="D26" i="54" s="1"/>
  <c r="L20" i="54"/>
  <c r="G20" i="54"/>
  <c r="D15" i="54"/>
  <c r="D16" i="54" s="1"/>
  <c r="M74" i="57" l="1"/>
  <c r="O26" i="57"/>
  <c r="K26" i="57"/>
  <c r="L55" i="54"/>
  <c r="G55" i="54"/>
  <c r="I20" i="54"/>
  <c r="I55" i="54" s="1"/>
  <c r="D17" i="54"/>
  <c r="D18" i="54" s="1"/>
  <c r="D19" i="54" s="1"/>
  <c r="M73" i="56"/>
  <c r="M72" i="56"/>
  <c r="M36" i="56"/>
  <c r="K55" i="55"/>
  <c r="J55" i="55"/>
  <c r="I54" i="55"/>
  <c r="K32" i="57" l="1"/>
  <c r="M44" i="59"/>
  <c r="M50" i="59" s="1"/>
  <c r="M83" i="59" s="1"/>
  <c r="M74" i="56"/>
  <c r="M32" i="57"/>
  <c r="L53" i="55"/>
  <c r="I53" i="55"/>
  <c r="D46" i="55"/>
  <c r="D47" i="55" s="1"/>
  <c r="D48" i="55" s="1"/>
  <c r="D49" i="55" s="1"/>
  <c r="D50" i="55" s="1"/>
  <c r="D51" i="55" s="1"/>
  <c r="L44" i="55"/>
  <c r="K22" i="56" l="1"/>
  <c r="K21" i="56"/>
  <c r="K20" i="56"/>
  <c r="M59" i="56"/>
  <c r="M55" i="56"/>
  <c r="J26" i="56"/>
  <c r="I26" i="56"/>
  <c r="H26" i="56"/>
  <c r="K24" i="56"/>
  <c r="K23" i="56"/>
  <c r="K19" i="56"/>
  <c r="K18" i="56"/>
  <c r="G44" i="55"/>
  <c r="I44" i="55" s="1"/>
  <c r="D38" i="55"/>
  <c r="D39" i="55" s="1"/>
  <c r="D40" i="55" s="1"/>
  <c r="D41" i="55" s="1"/>
  <c r="D42" i="55" s="1"/>
  <c r="D43" i="55" s="1"/>
  <c r="G36" i="55"/>
  <c r="I36" i="55" s="1"/>
  <c r="F75" i="55"/>
  <c r="D35" i="55"/>
  <c r="L33" i="55"/>
  <c r="G33" i="55"/>
  <c r="I33" i="55" s="1"/>
  <c r="D27" i="55"/>
  <c r="D28" i="55" s="1"/>
  <c r="D29" i="55" s="1"/>
  <c r="D30" i="55" s="1"/>
  <c r="D31" i="55" s="1"/>
  <c r="D32" i="55" s="1"/>
  <c r="L25" i="55"/>
  <c r="G25" i="55"/>
  <c r="I25" i="55" s="1"/>
  <c r="D22" i="55"/>
  <c r="D23" i="55" s="1"/>
  <c r="D24" i="55" s="1"/>
  <c r="L20" i="55"/>
  <c r="G20" i="55"/>
  <c r="D15" i="55"/>
  <c r="D16" i="55" s="1"/>
  <c r="L55" i="55" l="1"/>
  <c r="I20" i="55"/>
  <c r="I55" i="55" s="1"/>
  <c r="G55" i="55"/>
  <c r="D17" i="55"/>
  <c r="D18" i="55"/>
  <c r="P26" i="56"/>
  <c r="K26" i="56"/>
  <c r="M65" i="51"/>
  <c r="M67" i="51" s="1"/>
  <c r="M52" i="51"/>
  <c r="M48" i="51"/>
  <c r="K29" i="51"/>
  <c r="J23" i="51"/>
  <c r="I23" i="51"/>
  <c r="H23" i="51"/>
  <c r="K21" i="51"/>
  <c r="K20" i="51"/>
  <c r="K19" i="51"/>
  <c r="K18" i="51"/>
  <c r="K32" i="56" l="1"/>
  <c r="K23" i="51"/>
  <c r="M29" i="51" s="1"/>
  <c r="M33" i="51" s="1"/>
  <c r="M54" i="51" s="1"/>
  <c r="M58" i="51" s="1"/>
  <c r="M68" i="52" l="1"/>
  <c r="M51" i="52"/>
  <c r="G39" i="53"/>
  <c r="D19" i="53"/>
  <c r="D20" i="53" s="1"/>
  <c r="D21" i="53" s="1"/>
  <c r="D22" i="53" s="1"/>
  <c r="D23" i="53" s="1"/>
  <c r="D15" i="53"/>
  <c r="D16" i="53" s="1"/>
  <c r="F58" i="53" l="1"/>
  <c r="K41" i="53"/>
  <c r="J41" i="53"/>
  <c r="L40" i="53"/>
  <c r="G40" i="53"/>
  <c r="I40" i="53" s="1"/>
  <c r="D31" i="53"/>
  <c r="D32" i="53" s="1"/>
  <c r="D33" i="53" s="1"/>
  <c r="D34" i="53" s="1"/>
  <c r="D35" i="53" s="1"/>
  <c r="D36" i="53" s="1"/>
  <c r="D37" i="53" s="1"/>
  <c r="D38" i="53" s="1"/>
  <c r="D39" i="53" s="1"/>
  <c r="L29" i="53"/>
  <c r="G29" i="53"/>
  <c r="I29" i="53" s="1"/>
  <c r="D26" i="53"/>
  <c r="D27" i="53" s="1"/>
  <c r="D28" i="53" s="1"/>
  <c r="L24" i="53"/>
  <c r="G24" i="53"/>
  <c r="I24" i="53" s="1"/>
  <c r="L17" i="53"/>
  <c r="G17" i="53"/>
  <c r="I17" i="53" s="1"/>
  <c r="M70" i="52"/>
  <c r="M55" i="52"/>
  <c r="J23" i="52"/>
  <c r="I23" i="52"/>
  <c r="H23" i="52"/>
  <c r="K21" i="52"/>
  <c r="K20" i="52"/>
  <c r="K19" i="52"/>
  <c r="K18" i="52"/>
  <c r="F54" i="50"/>
  <c r="K37" i="50"/>
  <c r="J37" i="50"/>
  <c r="L36" i="50"/>
  <c r="G36" i="50"/>
  <c r="I36" i="50" s="1"/>
  <c r="D31" i="50"/>
  <c r="D32" i="50" s="1"/>
  <c r="D33" i="50" s="1"/>
  <c r="D34" i="50" s="1"/>
  <c r="D35" i="50" s="1"/>
  <c r="L29" i="50"/>
  <c r="G29" i="50"/>
  <c r="I29" i="50" s="1"/>
  <c r="D24" i="50"/>
  <c r="D25" i="50" s="1"/>
  <c r="D26" i="50" s="1"/>
  <c r="D27" i="50" s="1"/>
  <c r="D28" i="50" s="1"/>
  <c r="L22" i="50"/>
  <c r="G22" i="50"/>
  <c r="I22" i="50" s="1"/>
  <c r="D21" i="50"/>
  <c r="L19" i="50"/>
  <c r="G19" i="50"/>
  <c r="O23" i="52" l="1"/>
  <c r="K23" i="52"/>
  <c r="L41" i="53"/>
  <c r="I41" i="53"/>
  <c r="G41" i="53"/>
  <c r="G37" i="50"/>
  <c r="I37" i="50"/>
  <c r="L37" i="50"/>
  <c r="M61" i="48"/>
  <c r="K29" i="52" l="1"/>
  <c r="M29" i="52" s="1"/>
  <c r="M33" i="52" s="1"/>
  <c r="M32" i="56"/>
  <c r="M51" i="48"/>
  <c r="M43" i="48"/>
  <c r="M47" i="48"/>
  <c r="D34" i="49"/>
  <c r="D35" i="49" s="1"/>
  <c r="D36" i="49" s="1"/>
  <c r="D37" i="49" s="1"/>
  <c r="D38" i="49" s="1"/>
  <c r="D39" i="49" s="1"/>
  <c r="D40" i="49" s="1"/>
  <c r="D28" i="49"/>
  <c r="D29" i="49" s="1"/>
  <c r="D30" i="49" s="1"/>
  <c r="D31" i="49" s="1"/>
  <c r="D19" i="49"/>
  <c r="D20" i="49" s="1"/>
  <c r="D21" i="49" s="1"/>
  <c r="D22" i="49" s="1"/>
  <c r="D23" i="49" s="1"/>
  <c r="D24" i="49" s="1"/>
  <c r="D25" i="49" s="1"/>
  <c r="D16" i="49"/>
  <c r="F59" i="49"/>
  <c r="K42" i="49"/>
  <c r="J42" i="49"/>
  <c r="L41" i="49"/>
  <c r="G41" i="49"/>
  <c r="I41" i="49" s="1"/>
  <c r="L32" i="49"/>
  <c r="G32" i="49"/>
  <c r="I32" i="49" s="1"/>
  <c r="L26" i="49"/>
  <c r="G26" i="49"/>
  <c r="L17" i="49"/>
  <c r="G17" i="49"/>
  <c r="I17" i="49" s="1"/>
  <c r="M63" i="48"/>
  <c r="J23" i="48"/>
  <c r="I23" i="48"/>
  <c r="H23" i="48"/>
  <c r="K21" i="48"/>
  <c r="K20" i="48"/>
  <c r="K19" i="48"/>
  <c r="K18" i="48"/>
  <c r="M38" i="56" l="1"/>
  <c r="M61" i="56" s="1"/>
  <c r="M65" i="56" s="1"/>
  <c r="M57" i="52"/>
  <c r="M61" i="52" s="1"/>
  <c r="K23" i="48"/>
  <c r="L42" i="49"/>
  <c r="G42" i="49"/>
  <c r="I26" i="49"/>
  <c r="I42" i="49" s="1"/>
  <c r="M60" i="46"/>
  <c r="K44" i="46"/>
  <c r="M10" i="57" l="1"/>
  <c r="M87" i="59"/>
  <c r="K29" i="48"/>
  <c r="M29" i="48" s="1"/>
  <c r="M33" i="48" s="1"/>
  <c r="M49" i="48" s="1"/>
  <c r="M62" i="46"/>
  <c r="M47" i="46"/>
  <c r="J23" i="46"/>
  <c r="I23" i="46"/>
  <c r="H23" i="46"/>
  <c r="K21" i="46"/>
  <c r="K20" i="46"/>
  <c r="K19" i="46"/>
  <c r="K18" i="46"/>
  <c r="M38" i="57" l="1"/>
  <c r="P10" i="57"/>
  <c r="M53" i="48"/>
  <c r="K23" i="46"/>
  <c r="F67" i="47"/>
  <c r="K50" i="47"/>
  <c r="J50" i="47"/>
  <c r="L49" i="47"/>
  <c r="G49" i="47"/>
  <c r="I49" i="47" s="1"/>
  <c r="L40" i="47"/>
  <c r="G40" i="47"/>
  <c r="I40" i="47" s="1"/>
  <c r="L34" i="47"/>
  <c r="G34" i="47"/>
  <c r="I34" i="47" s="1"/>
  <c r="L25" i="47"/>
  <c r="G25" i="47"/>
  <c r="I25" i="47" s="1"/>
  <c r="M61" i="57" l="1"/>
  <c r="M65" i="57" s="1"/>
  <c r="I50" i="47"/>
  <c r="K29" i="46" s="1"/>
  <c r="M29" i="46" s="1"/>
  <c r="P29" i="46" s="1"/>
  <c r="L50" i="47"/>
  <c r="G50" i="47"/>
  <c r="M60" i="44"/>
  <c r="M62" i="44" s="1"/>
  <c r="M33" i="46" l="1"/>
  <c r="M49" i="46" s="1"/>
  <c r="O53" i="46" s="1"/>
  <c r="K43" i="44"/>
  <c r="M47" i="44" s="1"/>
  <c r="J23" i="44"/>
  <c r="G48" i="45"/>
  <c r="I48" i="45" s="1"/>
  <c r="L48" i="45"/>
  <c r="K18" i="44"/>
  <c r="F66" i="45"/>
  <c r="K49" i="45"/>
  <c r="J49" i="45"/>
  <c r="L41" i="45"/>
  <c r="G41" i="45"/>
  <c r="I41" i="45" s="1"/>
  <c r="L35" i="45"/>
  <c r="G35" i="45"/>
  <c r="L23" i="45"/>
  <c r="G23" i="45"/>
  <c r="I23" i="45" s="1"/>
  <c r="I23" i="44"/>
  <c r="H23" i="44"/>
  <c r="K21" i="44"/>
  <c r="K20" i="44"/>
  <c r="K19" i="44"/>
  <c r="M53" i="46" l="1"/>
  <c r="L49" i="45"/>
  <c r="K23" i="44"/>
  <c r="G49" i="45"/>
  <c r="I35" i="45"/>
  <c r="I49" i="45" s="1"/>
  <c r="K29" i="44" s="1"/>
  <c r="J45" i="43"/>
  <c r="K45" i="43"/>
  <c r="M29" i="44" l="1"/>
  <c r="P29" i="44" s="1"/>
  <c r="L39" i="42"/>
  <c r="L52" i="42"/>
  <c r="G29" i="43"/>
  <c r="I29" i="43" s="1"/>
  <c r="L36" i="43"/>
  <c r="L29" i="43"/>
  <c r="G36" i="43"/>
  <c r="F62" i="43"/>
  <c r="L44" i="43"/>
  <c r="G44" i="43"/>
  <c r="I44" i="43" s="1"/>
  <c r="L21" i="43"/>
  <c r="G21" i="43"/>
  <c r="L53" i="42"/>
  <c r="I23" i="42"/>
  <c r="H23" i="42"/>
  <c r="J20" i="42"/>
  <c r="J19" i="42"/>
  <c r="J18" i="42"/>
  <c r="M33" i="44" l="1"/>
  <c r="M49" i="44" s="1"/>
  <c r="L45" i="43"/>
  <c r="G45" i="43"/>
  <c r="I36" i="43"/>
  <c r="I21" i="43"/>
  <c r="J21" i="42"/>
  <c r="J23" i="42" s="1"/>
  <c r="H21" i="41"/>
  <c r="J21" i="41" s="1"/>
  <c r="G31" i="40"/>
  <c r="J43" i="41"/>
  <c r="L43" i="41" s="1"/>
  <c r="L56" i="41"/>
  <c r="L57" i="41" s="1"/>
  <c r="I23" i="41"/>
  <c r="J20" i="41"/>
  <c r="J19" i="41"/>
  <c r="J18" i="41"/>
  <c r="K37" i="40"/>
  <c r="J37" i="40"/>
  <c r="M53" i="44" l="1"/>
  <c r="O53" i="44"/>
  <c r="I45" i="43"/>
  <c r="J29" i="42" s="1"/>
  <c r="L29" i="42" s="1"/>
  <c r="L31" i="42" s="1"/>
  <c r="L41" i="42" s="1"/>
  <c r="L45" i="42" s="1"/>
  <c r="J23" i="41"/>
  <c r="H23" i="41"/>
  <c r="F54" i="40"/>
  <c r="L36" i="40"/>
  <c r="G36" i="40"/>
  <c r="I36" i="40" s="1"/>
  <c r="L31" i="40"/>
  <c r="L21" i="40"/>
  <c r="G21" i="40"/>
  <c r="J37" i="36"/>
  <c r="L37" i="40" l="1"/>
  <c r="I21" i="40"/>
  <c r="G37" i="40"/>
  <c r="I38" i="40" s="1"/>
  <c r="I31" i="40"/>
  <c r="H18" i="36"/>
  <c r="G18" i="39"/>
  <c r="I37" i="40" l="1"/>
  <c r="J29" i="41" s="1"/>
  <c r="I23" i="36"/>
  <c r="H23" i="36"/>
  <c r="L40" i="36"/>
  <c r="F56" i="39"/>
  <c r="K39" i="39"/>
  <c r="J39" i="39"/>
  <c r="L38" i="39"/>
  <c r="L31" i="39"/>
  <c r="L23" i="39"/>
  <c r="L18" i="39"/>
  <c r="G38" i="39"/>
  <c r="I38" i="39" s="1"/>
  <c r="G31" i="39"/>
  <c r="G23" i="39"/>
  <c r="I23" i="39" s="1"/>
  <c r="I18" i="39"/>
  <c r="L53" i="36"/>
  <c r="L29" i="41" l="1"/>
  <c r="L31" i="41" s="1"/>
  <c r="L45" i="41" s="1"/>
  <c r="O29" i="41"/>
  <c r="L39" i="39"/>
  <c r="G39" i="39"/>
  <c r="I31" i="39"/>
  <c r="I39" i="39" s="1"/>
  <c r="L49" i="41" l="1"/>
  <c r="N49" i="41"/>
  <c r="J21" i="36"/>
  <c r="J20" i="36"/>
  <c r="J19" i="36"/>
  <c r="J18" i="36"/>
  <c r="L54" i="36"/>
  <c r="J23" i="36" l="1"/>
  <c r="L28" i="36" s="1"/>
  <c r="M43" i="37"/>
  <c r="O37" i="37"/>
  <c r="O27" i="37"/>
  <c r="K20" i="37"/>
  <c r="G20" i="37"/>
  <c r="L30" i="36" l="1"/>
  <c r="L42" i="36" s="1"/>
  <c r="L46" i="36" s="1"/>
  <c r="N28" i="36"/>
  <c r="I32" i="22" l="1"/>
  <c r="I33" i="22" s="1"/>
  <c r="J14" i="22"/>
  <c r="I81" i="33" l="1"/>
  <c r="I73" i="33"/>
  <c r="H48" i="33"/>
  <c r="H41" i="33"/>
  <c r="I31" i="33"/>
  <c r="I26" i="33"/>
  <c r="I20" i="33"/>
  <c r="I15" i="33"/>
  <c r="H91" i="33" l="1"/>
  <c r="H50" i="31"/>
  <c r="F44" i="31"/>
  <c r="M31" i="32" l="1"/>
  <c r="L31" i="32"/>
  <c r="J30" i="32"/>
  <c r="J22" i="32" l="1"/>
  <c r="J31" i="32" s="1"/>
  <c r="I12" i="31" l="1"/>
  <c r="K24" i="30" l="1"/>
  <c r="I16" i="30" l="1"/>
  <c r="M16" i="30" l="1"/>
  <c r="I24" i="30"/>
  <c r="M24" i="30" s="1"/>
  <c r="N23" i="29"/>
  <c r="L23" i="29"/>
  <c r="J23" i="29"/>
  <c r="M34" i="28" l="1"/>
  <c r="K34" i="28"/>
  <c r="I34" i="28"/>
  <c r="F40" i="27" l="1"/>
  <c r="F35" i="27"/>
  <c r="K34" i="27"/>
  <c r="I34" i="27"/>
  <c r="M34" i="27" s="1"/>
  <c r="I20" i="26" l="1"/>
  <c r="I19" i="25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Intel Core i3</author>
  </authors>
  <commentList>
    <comment ref="O37" authorId="0" shapeId="0" xr:uid="{3E51502A-C3AE-475B-ACA1-B2861D414BB0}">
      <text>
        <r>
          <rPr>
            <b/>
            <sz val="9"/>
            <color indexed="81"/>
            <rFont val="Tahoma"/>
            <family val="2"/>
          </rPr>
          <t>Intel Core i3:</t>
        </r>
        <r>
          <rPr>
            <sz val="9"/>
            <color indexed="81"/>
            <rFont val="Tahoma"/>
            <family val="2"/>
          </rPr>
          <t xml:space="preserve">
wum9</t>
        </r>
      </text>
    </comment>
  </commentList>
</comments>
</file>

<file path=xl/sharedStrings.xml><?xml version="1.0" encoding="utf-8"?>
<sst xmlns="http://schemas.openxmlformats.org/spreadsheetml/2006/main" count="4441" uniqueCount="939">
  <si>
    <t>Our Lady of the Most Holy Rosary (Sub-Parish)</t>
  </si>
  <si>
    <t>Donor</t>
  </si>
  <si>
    <t>Stipend</t>
  </si>
  <si>
    <t>Thanksgiving</t>
  </si>
  <si>
    <t>Soul</t>
  </si>
  <si>
    <t>Date</t>
  </si>
  <si>
    <t>Rcpt. #</t>
  </si>
  <si>
    <t>03</t>
  </si>
  <si>
    <t>Lucky Tiu</t>
  </si>
  <si>
    <t>17</t>
  </si>
  <si>
    <t>Belma Veloria</t>
  </si>
  <si>
    <t>22</t>
  </si>
  <si>
    <t>Pamisa &amp;</t>
  </si>
  <si>
    <t>Prepared by:</t>
  </si>
  <si>
    <t>Fely Rabano</t>
  </si>
  <si>
    <t>Treasurer</t>
  </si>
  <si>
    <t>08</t>
  </si>
  <si>
    <t>Tina Murla</t>
  </si>
  <si>
    <t xml:space="preserve">                   Control File - Receipts</t>
  </si>
  <si>
    <t>Mass Sponsor:</t>
  </si>
  <si>
    <t>Irene Masong</t>
  </si>
  <si>
    <t>05</t>
  </si>
  <si>
    <t>Helen Caballero</t>
  </si>
  <si>
    <t>Art de Leon</t>
  </si>
  <si>
    <t>Street</t>
  </si>
  <si>
    <t>07</t>
  </si>
  <si>
    <t>19</t>
  </si>
  <si>
    <t>21</t>
  </si>
  <si>
    <t>04</t>
  </si>
  <si>
    <t>09</t>
  </si>
  <si>
    <t>02</t>
  </si>
  <si>
    <t>Ramil Montera</t>
  </si>
  <si>
    <t>S.Gabi</t>
  </si>
  <si>
    <t>Jane Pasamba</t>
  </si>
  <si>
    <t>16</t>
  </si>
  <si>
    <t>18</t>
  </si>
  <si>
    <t>20</t>
  </si>
  <si>
    <t>23</t>
  </si>
  <si>
    <t xml:space="preserve">Xmas </t>
  </si>
  <si>
    <t>Baby Hernando</t>
  </si>
  <si>
    <t xml:space="preserve">                Control File - Receipts</t>
  </si>
  <si>
    <t>Elmer Buere</t>
  </si>
  <si>
    <t>Fiesta</t>
  </si>
  <si>
    <t>Nida Alberto</t>
  </si>
  <si>
    <t>Lucy Saramosing</t>
  </si>
  <si>
    <t>Lerma Marabut</t>
  </si>
  <si>
    <t>Donation</t>
  </si>
  <si>
    <t xml:space="preserve">            Month of  April 2021</t>
  </si>
  <si>
    <t>Edna Mejia</t>
  </si>
  <si>
    <t>Kenneth Tiu</t>
  </si>
  <si>
    <t>Opcinar Fam.</t>
  </si>
  <si>
    <t>STIPEND:</t>
  </si>
  <si>
    <t>April</t>
  </si>
  <si>
    <t>4 Sundays @ 800 ea.   ………………….</t>
  </si>
  <si>
    <t xml:space="preserve">            Month of  May 2021</t>
  </si>
  <si>
    <t>Hernando Family</t>
  </si>
  <si>
    <t>J. Mateo</t>
  </si>
  <si>
    <t>May</t>
  </si>
  <si>
    <t>5 Sundays @ 800 ea.   ………………….</t>
  </si>
  <si>
    <t>June</t>
  </si>
  <si>
    <t>July</t>
  </si>
  <si>
    <t>Tessie Castillo</t>
  </si>
  <si>
    <t>August</t>
  </si>
  <si>
    <t>from mass</t>
  </si>
  <si>
    <t>collection</t>
  </si>
  <si>
    <t>Total</t>
  </si>
  <si>
    <t>Ebon Andres</t>
  </si>
  <si>
    <t>October</t>
  </si>
  <si>
    <t>10</t>
  </si>
  <si>
    <t>September</t>
  </si>
  <si>
    <t>12</t>
  </si>
  <si>
    <t>Lorena Bianzon</t>
  </si>
  <si>
    <t xml:space="preserve">from </t>
  </si>
  <si>
    <t>14</t>
  </si>
  <si>
    <t>Gina Albarido</t>
  </si>
  <si>
    <t>Thin Tapaoan</t>
  </si>
  <si>
    <t>Reylen Calonge</t>
  </si>
  <si>
    <t>Add'l</t>
  </si>
  <si>
    <t>DECEMBER</t>
  </si>
  <si>
    <t>STIPEND</t>
  </si>
  <si>
    <t>from</t>
  </si>
  <si>
    <t>Pamisa</t>
  </si>
  <si>
    <t>Checked by:</t>
  </si>
  <si>
    <t>4 Sundays @ 1000 ea.   ………………….</t>
  </si>
  <si>
    <t>Total  mass collection  ……</t>
  </si>
  <si>
    <t>Reylyn Calonge</t>
  </si>
  <si>
    <t>Ana Grafil &amp; Fam.</t>
  </si>
  <si>
    <t>Tina M.</t>
  </si>
  <si>
    <t>Billy Lara</t>
  </si>
  <si>
    <t>Euben Conseja</t>
  </si>
  <si>
    <t>For mass stipend</t>
  </si>
  <si>
    <t>for deposit</t>
  </si>
  <si>
    <t>(donation for roof painting)</t>
  </si>
  <si>
    <t xml:space="preserve">     Month of  June 2022</t>
  </si>
  <si>
    <t>PAMISA</t>
  </si>
  <si>
    <t xml:space="preserve">            Month of  July 2022</t>
  </si>
  <si>
    <t>Annie Alejandria</t>
  </si>
  <si>
    <t>Tess Sabado</t>
  </si>
  <si>
    <t>Reylyn  Calonge</t>
  </si>
  <si>
    <t>Grace  Ilioferer</t>
  </si>
  <si>
    <t>Love Love</t>
  </si>
  <si>
    <t>Avila Fam.</t>
  </si>
  <si>
    <t>Leo &amp; Elvira Grafil</t>
  </si>
  <si>
    <t>July  2022</t>
  </si>
  <si>
    <t>5 Sundays @ 1000 ea.   ………………….</t>
  </si>
  <si>
    <t xml:space="preserve">            Month of  August 2022</t>
  </si>
  <si>
    <t>Hilda Villena</t>
  </si>
  <si>
    <t>Edith Galeria</t>
  </si>
  <si>
    <t>Jesus Lara</t>
  </si>
  <si>
    <t>Ely Tapaoan</t>
  </si>
  <si>
    <t>Luz Damian</t>
  </si>
  <si>
    <t>Palar Fam.</t>
  </si>
  <si>
    <t>Marabut Fam.</t>
  </si>
  <si>
    <t xml:space="preserve">            Month of  September 2022</t>
  </si>
  <si>
    <t>pamisa</t>
  </si>
  <si>
    <t>Erbon Andres</t>
  </si>
  <si>
    <t>11</t>
  </si>
  <si>
    <t>4 Sundays @ 1000.00 ea.</t>
  </si>
  <si>
    <t>cancelled</t>
  </si>
  <si>
    <t>Triduum  Mass</t>
  </si>
  <si>
    <t>DCV HOA</t>
  </si>
  <si>
    <t>Rose Riambon</t>
  </si>
  <si>
    <t>Sponsor</t>
  </si>
  <si>
    <t>Amount</t>
  </si>
  <si>
    <t>Sunday Mass</t>
  </si>
  <si>
    <t>Thursday</t>
  </si>
  <si>
    <t>Friday</t>
  </si>
  <si>
    <t>Saturday</t>
  </si>
  <si>
    <t>Sunday</t>
  </si>
  <si>
    <t>Lucy</t>
  </si>
  <si>
    <t>11-06-22</t>
  </si>
  <si>
    <t>(no receipt)</t>
  </si>
  <si>
    <t>(10/22)</t>
  </si>
  <si>
    <t>11-13-22</t>
  </si>
  <si>
    <t>11-18-22</t>
  </si>
  <si>
    <t>Siony Tugado</t>
  </si>
  <si>
    <t>11-17-22</t>
  </si>
  <si>
    <t>Albarido</t>
  </si>
  <si>
    <t>11-19-22</t>
  </si>
  <si>
    <t>Labog Family</t>
  </si>
  <si>
    <t>06</t>
  </si>
  <si>
    <t>13</t>
  </si>
  <si>
    <t>Triduum Mass</t>
  </si>
  <si>
    <t>No Mass  at DCV - Feast of Christ the King</t>
  </si>
  <si>
    <t>11-27-22</t>
  </si>
  <si>
    <t>N. Grafil</t>
  </si>
  <si>
    <t>(10/21)</t>
  </si>
  <si>
    <t>donation</t>
  </si>
  <si>
    <t>December</t>
  </si>
  <si>
    <t>Madel Belino</t>
  </si>
  <si>
    <t>15</t>
  </si>
  <si>
    <t>25</t>
  </si>
  <si>
    <t>Jan. 15</t>
  </si>
  <si>
    <t>10-16-22</t>
  </si>
  <si>
    <t>01</t>
  </si>
  <si>
    <t>Leony Aviles</t>
  </si>
  <si>
    <t>Jan.</t>
  </si>
  <si>
    <t>Baby Boris</t>
  </si>
  <si>
    <t>Regine Estrada</t>
  </si>
  <si>
    <t>January</t>
  </si>
  <si>
    <t>29</t>
  </si>
  <si>
    <t>Dec. 23</t>
  </si>
  <si>
    <t>Dec. 15</t>
  </si>
  <si>
    <t xml:space="preserve">            Month of  October 2023</t>
  </si>
  <si>
    <t>J. Pasamba</t>
  </si>
  <si>
    <t>Tina P.</t>
  </si>
  <si>
    <t>Leo Grafil</t>
  </si>
  <si>
    <t>Irene M.</t>
  </si>
  <si>
    <t>(10/01)</t>
  </si>
  <si>
    <t>(10/08)</t>
  </si>
  <si>
    <t>Doc Edwin</t>
  </si>
  <si>
    <t>Grace Villarisco</t>
  </si>
  <si>
    <t>M. Padua</t>
  </si>
  <si>
    <t>F. Rabano</t>
  </si>
  <si>
    <t>Teresa Pesalbon</t>
  </si>
  <si>
    <t xml:space="preserve">Eloisa </t>
  </si>
  <si>
    <t>L. Bianzon</t>
  </si>
  <si>
    <t>Jane P.</t>
  </si>
  <si>
    <t>Belma</t>
  </si>
  <si>
    <t>Helen</t>
  </si>
  <si>
    <t>Reylyn</t>
  </si>
  <si>
    <t>Zenaida</t>
  </si>
  <si>
    <t>Rachelle</t>
  </si>
  <si>
    <t>(10/29)</t>
  </si>
  <si>
    <t>no mass</t>
  </si>
  <si>
    <t>Triumph &amp; Laurel St.</t>
  </si>
  <si>
    <t>Yuletide &amp; Glory St.</t>
  </si>
  <si>
    <t xml:space="preserve">            Month of  December 2023</t>
  </si>
  <si>
    <t>Thelma Lara</t>
  </si>
  <si>
    <t>Dehlie</t>
  </si>
  <si>
    <t>Annie</t>
  </si>
  <si>
    <t>Dec. 03</t>
  </si>
  <si>
    <t>Elmer</t>
  </si>
  <si>
    <t>Dec. 10</t>
  </si>
  <si>
    <t>Freddie D.</t>
  </si>
  <si>
    <t>Salas Fam.</t>
  </si>
  <si>
    <t>Elmer /b,</t>
  </si>
  <si>
    <t>Myrna Barcena</t>
  </si>
  <si>
    <t>Diamante Fam.</t>
  </si>
  <si>
    <t>Dec. 17</t>
  </si>
  <si>
    <t>Dec. 16</t>
  </si>
  <si>
    <t>Hilda</t>
  </si>
  <si>
    <t>Thin</t>
  </si>
  <si>
    <t>Lerma</t>
  </si>
  <si>
    <t>Nanie Domingo</t>
  </si>
  <si>
    <t>Emily</t>
  </si>
  <si>
    <t>Linda Sarmiento</t>
  </si>
  <si>
    <t>Dec. 18</t>
  </si>
  <si>
    <t>Henry</t>
  </si>
  <si>
    <t>Buelva</t>
  </si>
  <si>
    <t>Emma</t>
  </si>
  <si>
    <t>Baby P.</t>
  </si>
  <si>
    <t>Dec. 19</t>
  </si>
  <si>
    <t>Anne Senanin</t>
  </si>
  <si>
    <t>Gina A.</t>
  </si>
  <si>
    <t>Mhonique Polison</t>
  </si>
  <si>
    <t>Sagun Fam.</t>
  </si>
  <si>
    <t>Dec. 20</t>
  </si>
  <si>
    <t>Fely R.</t>
  </si>
  <si>
    <t>Dec. 21</t>
  </si>
  <si>
    <t>Rabano</t>
  </si>
  <si>
    <t>Atienza Fam.</t>
  </si>
  <si>
    <t>Leonie Aviles</t>
  </si>
  <si>
    <t>Dec. 22</t>
  </si>
  <si>
    <t>Fely &amp; Luz D.</t>
  </si>
  <si>
    <t>31</t>
  </si>
  <si>
    <t>(cancelled)</t>
  </si>
  <si>
    <t>26</t>
  </si>
  <si>
    <t>Dec. 25</t>
  </si>
  <si>
    <t>Dec. 31</t>
  </si>
  <si>
    <t>Net collection ……………..</t>
  </si>
  <si>
    <t>Fely R.. &amp; Luz D.</t>
  </si>
  <si>
    <t>Beng Grafil</t>
  </si>
  <si>
    <t>Imelda</t>
  </si>
  <si>
    <t>Jan. 04</t>
  </si>
  <si>
    <t>Thin Tapaon</t>
  </si>
  <si>
    <t>Jan. 21</t>
  </si>
  <si>
    <t>Perla</t>
  </si>
  <si>
    <t>Susan</t>
  </si>
  <si>
    <t>No Mass)</t>
  </si>
  <si>
    <t>28</t>
  </si>
  <si>
    <t>Jan. 28</t>
  </si>
  <si>
    <t>Month of  January 2024</t>
  </si>
  <si>
    <t xml:space="preserve">            Month of  November 2023</t>
  </si>
  <si>
    <t>Nov.  2023</t>
  </si>
  <si>
    <t xml:space="preserve"> </t>
  </si>
  <si>
    <t xml:space="preserve">                      OUR LADY OF THE MOST HOLY ROSARY</t>
  </si>
  <si>
    <t xml:space="preserve">                                             Sub-Parish</t>
  </si>
  <si>
    <t xml:space="preserve">                                     Diamond Crest Village</t>
  </si>
  <si>
    <t xml:space="preserve">                   Bgy. San Manuel, City of San Jose del Monte</t>
  </si>
  <si>
    <r>
      <rPr>
        <sz val="14"/>
        <color theme="1"/>
        <rFont val="Times New Roman"/>
        <family val="1"/>
      </rPr>
      <t xml:space="preserve">   </t>
    </r>
    <r>
      <rPr>
        <u/>
        <sz val="14"/>
        <color theme="1"/>
        <rFont val="Times New Roman"/>
        <family val="1"/>
      </rPr>
      <t>FINANCIAL REPORT</t>
    </r>
  </si>
  <si>
    <t>Net</t>
  </si>
  <si>
    <t>Mass Collections for:</t>
  </si>
  <si>
    <t>February</t>
  </si>
  <si>
    <t>Sub-total</t>
  </si>
  <si>
    <t>TOTAL  CASH AVAILABLE                       …………….</t>
  </si>
  <si>
    <t xml:space="preserve">Less:   </t>
  </si>
  <si>
    <t>PCV #</t>
  </si>
  <si>
    <t xml:space="preserve"> P A R T I C U L A R S</t>
  </si>
  <si>
    <t>Add:</t>
  </si>
  <si>
    <t>Interest (net of w/holding tax)</t>
  </si>
  <si>
    <t>Noted by:</t>
  </si>
  <si>
    <t xml:space="preserve"> President</t>
  </si>
  <si>
    <t xml:space="preserve">         January  2024</t>
  </si>
  <si>
    <t>Beginning balance as of   January  01, 2024\\</t>
  </si>
  <si>
    <t>Less : Add'l</t>
  </si>
  <si>
    <t>(no mass)</t>
  </si>
  <si>
    <t>Add:  Donations/Thanksgiving:</t>
  </si>
  <si>
    <t>Donations / Pamisa</t>
  </si>
  <si>
    <t>TOTAL COLLECTION FOR   January   ……………</t>
  </si>
  <si>
    <t>Expenses for  January:</t>
  </si>
  <si>
    <t>01/04/24</t>
  </si>
  <si>
    <t>Desk Fan repair</t>
  </si>
  <si>
    <t>01/10/24</t>
  </si>
  <si>
    <t>Wire screen for back door</t>
  </si>
  <si>
    <t>01/13/24</t>
  </si>
  <si>
    <t>Michael - labor: removed x'mas lights</t>
  </si>
  <si>
    <t>01/18/24</t>
  </si>
  <si>
    <t>Office supplies</t>
  </si>
  <si>
    <t>01/16/24</t>
  </si>
  <si>
    <t>Meralco/Water Bills (2 mos.)</t>
  </si>
  <si>
    <t>01/21/24</t>
  </si>
  <si>
    <t>SLRP Anniversary</t>
  </si>
  <si>
    <t>TOTAL EXPENSES FOR  JANUARY  ………………………………………</t>
  </si>
  <si>
    <t>Cash Balance as of   January 31, 2024  ……………………</t>
  </si>
  <si>
    <t>Cash in Bank as of  December  31, 2024</t>
  </si>
  <si>
    <t>Cash in Bank as of  January 31, 2024</t>
  </si>
  <si>
    <t>Prepared by</t>
  </si>
  <si>
    <t>Checked by</t>
  </si>
  <si>
    <t>Audited by:</t>
  </si>
  <si>
    <t>Elvira Grafil</t>
  </si>
  <si>
    <t xml:space="preserve">  Asst. Treasurer</t>
  </si>
  <si>
    <t>Auditor</t>
  </si>
  <si>
    <t>Net of Donations</t>
  </si>
  <si>
    <t>Aviles Family</t>
  </si>
  <si>
    <t>Lourdes Galang</t>
  </si>
  <si>
    <t>Total Stipend</t>
  </si>
  <si>
    <t>TOTAL</t>
  </si>
  <si>
    <t>SPPC Share for Annual Planning</t>
  </si>
  <si>
    <t>DONATIONS</t>
  </si>
  <si>
    <t>Cash in Bank as of  February 29, 2024</t>
  </si>
  <si>
    <t>STIPEND from</t>
  </si>
  <si>
    <t>Donations</t>
  </si>
  <si>
    <t>Mass Collections</t>
  </si>
  <si>
    <t>DONATIONS (Mass Intentions:Thanksgiving, Souls, others)</t>
  </si>
  <si>
    <t>Mass Collections:</t>
  </si>
  <si>
    <t>Net Amount</t>
  </si>
  <si>
    <t>Sub-Total</t>
  </si>
  <si>
    <t>Unused OR</t>
  </si>
  <si>
    <t>OR Number</t>
  </si>
  <si>
    <t>Stipend  for the month of February 2024</t>
  </si>
  <si>
    <t>Period covered</t>
  </si>
  <si>
    <t xml:space="preserve">Less: Deposits for the month of February </t>
  </si>
  <si>
    <t xml:space="preserve">Total Cash Available             </t>
  </si>
  <si>
    <t>Less: Expenses  for the month of February</t>
  </si>
  <si>
    <t>02/16/2024</t>
  </si>
  <si>
    <t>Collections</t>
  </si>
  <si>
    <t>Asst. Treasurer</t>
  </si>
  <si>
    <t xml:space="preserve">FINANCIAL REPORT </t>
  </si>
  <si>
    <t xml:space="preserve"> As of  FEBRUARY 29, 2024</t>
  </si>
  <si>
    <t>(Net of Stipend)</t>
  </si>
  <si>
    <t xml:space="preserve">     Add: Deposits - February 2024</t>
  </si>
  <si>
    <t xml:space="preserve">              Interest  ( Net of witholding tax ) </t>
  </si>
  <si>
    <t>Cash Balance as of February  29, 2024</t>
  </si>
  <si>
    <t>Utility Expenses (Meralco/Water Bills )</t>
  </si>
  <si>
    <t>Donations (Net of Stipend)</t>
  </si>
  <si>
    <t>P</t>
  </si>
  <si>
    <t xml:space="preserve">Net of Expenses         </t>
  </si>
  <si>
    <t xml:space="preserve">Add: Receipts for the month of February </t>
  </si>
  <si>
    <t>Schedule A</t>
  </si>
  <si>
    <t xml:space="preserve">   Donations from Mass Intentions :  ( Schedule A)</t>
  </si>
  <si>
    <t xml:space="preserve"> P articulars</t>
  </si>
  <si>
    <t>Electrical/Labor expenses -(c/o Jaime )</t>
  </si>
  <si>
    <t>Diamond Crest Village ,Brgy, San Manuel, San Jose DelMonte City, Bulacan</t>
  </si>
  <si>
    <t>Cash Balance as of  February  01, 2024</t>
  </si>
  <si>
    <t>Food  Expenses (  Daan ng Krus )</t>
  </si>
  <si>
    <t>(New Year)</t>
  </si>
  <si>
    <t>02/22/2024</t>
  </si>
  <si>
    <t>Repairs of cabinet</t>
  </si>
  <si>
    <t xml:space="preserve">No Offical Receipt </t>
  </si>
  <si>
    <t>For the month of March 2024</t>
  </si>
  <si>
    <t>For the month of February 2024</t>
  </si>
  <si>
    <t>March</t>
  </si>
  <si>
    <t>Chris Levi</t>
  </si>
  <si>
    <t>Emeld Torres</t>
  </si>
  <si>
    <t>Gina</t>
  </si>
  <si>
    <t>Abeles</t>
  </si>
  <si>
    <t>R. Calonge</t>
  </si>
  <si>
    <t>Art de Leon &amp; Family</t>
  </si>
  <si>
    <t>Calonge Family</t>
  </si>
  <si>
    <t>Emelda</t>
  </si>
  <si>
    <t xml:space="preserve"> As of  MARCH 31, 2024</t>
  </si>
  <si>
    <t xml:space="preserve">     Add: Deposits - March 2024</t>
  </si>
  <si>
    <t>Cash in Bank as of  March 31, 2024</t>
  </si>
  <si>
    <t>Cash Balance as of March 31, 2024</t>
  </si>
  <si>
    <t>No mass</t>
  </si>
  <si>
    <t>Add: Receipts for the month of March</t>
  </si>
  <si>
    <t>Utility Expenses (Meralco &amp; Water Bills )</t>
  </si>
  <si>
    <t>Candles</t>
  </si>
  <si>
    <t>03/26/2024</t>
  </si>
  <si>
    <t>Food  Expenses (  PABASA &amp; VIGIL)</t>
  </si>
  <si>
    <t>03/23/2024</t>
  </si>
  <si>
    <t>Battery Charger</t>
  </si>
  <si>
    <t>03/24/2024</t>
  </si>
  <si>
    <t>Dry Clean Services ( Sto. Entiero clothes)</t>
  </si>
  <si>
    <t>Repairs of Hot and Cold Dispenser</t>
  </si>
  <si>
    <t>03/30/2024</t>
  </si>
  <si>
    <t>Food Sharing ( for SLR Parish )</t>
  </si>
  <si>
    <t>Less: Deposits for the month of March 2024</t>
  </si>
  <si>
    <t xml:space="preserve">   Alay Kapwa Collections</t>
  </si>
  <si>
    <t>No OR</t>
  </si>
  <si>
    <t>Terrie</t>
  </si>
  <si>
    <t>Cash Balance as of  March  01, 2024</t>
  </si>
  <si>
    <t xml:space="preserve"> Particulars</t>
  </si>
  <si>
    <t>Stipend  for the month of March 2024</t>
  </si>
  <si>
    <t>03/06/2024</t>
  </si>
  <si>
    <t xml:space="preserve">   Donations from Mass Intentions :  (see  Schedule A)</t>
  </si>
  <si>
    <t>Donations ( net of Stipend )</t>
  </si>
  <si>
    <t>For the month of April 2024</t>
  </si>
  <si>
    <t>Baby</t>
  </si>
  <si>
    <t>Juvy</t>
  </si>
  <si>
    <t>Lea</t>
  </si>
  <si>
    <t>Irene</t>
  </si>
  <si>
    <t>Galang Store</t>
  </si>
  <si>
    <t>Loira</t>
  </si>
  <si>
    <t xml:space="preserve">Jane </t>
  </si>
  <si>
    <t>No Official Receipt</t>
  </si>
  <si>
    <t>Less: Expenses  for the month of April</t>
  </si>
  <si>
    <t>Less: Expenses  for the month of March</t>
  </si>
  <si>
    <t>Cash in Bank as of  April 30, 2024</t>
  </si>
  <si>
    <t>Less: Deposits for the month of April 2024</t>
  </si>
  <si>
    <t>Cash Balance as of April  30, 2024</t>
  </si>
  <si>
    <t>April 14, 2024</t>
  </si>
  <si>
    <t>April 16, 2024</t>
  </si>
  <si>
    <t xml:space="preserve"> As of  APRIL 30, 2024</t>
  </si>
  <si>
    <t>Cash Balance as of  April  01, 2024</t>
  </si>
  <si>
    <t xml:space="preserve">     Add: Deposits - April 2024</t>
  </si>
  <si>
    <t>Stipend  for the month of April 2024</t>
  </si>
  <si>
    <t>Add: Receipts for the month of April 2024</t>
  </si>
  <si>
    <t>-</t>
  </si>
  <si>
    <t>Donations (Abuloy to Leah's sister -Mindanao)</t>
  </si>
  <si>
    <t>For the month of May 2024</t>
  </si>
  <si>
    <t>Ebony</t>
  </si>
  <si>
    <t>Eloisa</t>
  </si>
  <si>
    <t xml:space="preserve"> As of  MAY 31, 2024</t>
  </si>
  <si>
    <t>Cash Balance as of  May  01, 2024</t>
  </si>
  <si>
    <t>Add: Receipts for the month of May 2024</t>
  </si>
  <si>
    <t>Others</t>
  </si>
  <si>
    <t>Galang Family</t>
  </si>
  <si>
    <t>Lucy Sararosing Family</t>
  </si>
  <si>
    <t>Banog Family</t>
  </si>
  <si>
    <t>Aveles Family</t>
  </si>
  <si>
    <t xml:space="preserve">Art de Leon </t>
  </si>
  <si>
    <t>Rose</t>
  </si>
  <si>
    <t>Jun Cales</t>
  </si>
  <si>
    <t>Less: Expenses  for the month of May</t>
  </si>
  <si>
    <t>Less: Deposits for the month of May 2024</t>
  </si>
  <si>
    <t xml:space="preserve">Cash Balance as of May31, 2024 </t>
  </si>
  <si>
    <t>May 9, 2024</t>
  </si>
  <si>
    <t>May 21, 2024</t>
  </si>
  <si>
    <t>May 24,2024</t>
  </si>
  <si>
    <t>May 28, 2024</t>
  </si>
  <si>
    <t>May 29, 2024</t>
  </si>
  <si>
    <t>Dry Clean Expenses ( Mama Mary Gowns)</t>
  </si>
  <si>
    <t>Materials for "Luhuran"</t>
  </si>
  <si>
    <t>Labor/Materials and Repairs Expenses</t>
  </si>
  <si>
    <t>Stipend for Novenario (Flores de Maria)</t>
  </si>
  <si>
    <t xml:space="preserve">     Add: Deposits - May 21, 2024</t>
  </si>
  <si>
    <t xml:space="preserve">     Less: Withdrawal - May 24, 2024</t>
  </si>
  <si>
    <t>Cash in Bank as of  Mayl 31, 2024</t>
  </si>
  <si>
    <t>Add: Cash withdrawal - May 24, 2024</t>
  </si>
  <si>
    <t>Stipend  for the month of May 2024</t>
  </si>
  <si>
    <t xml:space="preserve">Candles </t>
  </si>
  <si>
    <t>Lucia Gacomo</t>
  </si>
  <si>
    <t>Art De Leon</t>
  </si>
  <si>
    <t>For the month of June 2024</t>
  </si>
  <si>
    <t>Stipend  for the month of June 2024</t>
  </si>
  <si>
    <t>Neri</t>
  </si>
  <si>
    <t>Sola</t>
  </si>
  <si>
    <t xml:space="preserve"> As of  JUNE 30, 2024</t>
  </si>
  <si>
    <t>Cash Balance as of  June  01, 2024</t>
  </si>
  <si>
    <t>Add: Receipts for the month of June 2024</t>
  </si>
  <si>
    <t xml:space="preserve">Add: Cash withdrawal </t>
  </si>
  <si>
    <t>Less: Expenses  for the month of June 2024</t>
  </si>
  <si>
    <t>June 01, 2024</t>
  </si>
  <si>
    <t>Tarpaulin  ( Signage for No Mass )</t>
  </si>
  <si>
    <t>June 16, 2024</t>
  </si>
  <si>
    <t>June 18, 2024</t>
  </si>
  <si>
    <t>Father's Day gift ( for Father Von )</t>
  </si>
  <si>
    <t>Utility Expenses ( Water Bills share for 2 months )</t>
  </si>
  <si>
    <t>June 20, 2024</t>
  </si>
  <si>
    <t>Battery for Laptop  used at Chapel</t>
  </si>
  <si>
    <t>June 29, 2024</t>
  </si>
  <si>
    <t>June 30, 2024</t>
  </si>
  <si>
    <t>Flowers at SLR Parish for the month of June 2024</t>
  </si>
  <si>
    <t xml:space="preserve">Cash Balance as of June 30, 2024 </t>
  </si>
  <si>
    <t>Less: Deposits for the month of June 2024</t>
  </si>
  <si>
    <t>Cash in Bank as of  June 30, 2024</t>
  </si>
  <si>
    <t xml:space="preserve">     Add: Deposits - June 18, 2024</t>
  </si>
  <si>
    <t>Cash in Bank as of  May 31, 2024</t>
  </si>
  <si>
    <t xml:space="preserve">     Less: Withdrawal </t>
  </si>
  <si>
    <t>Unused OR(see July 7)</t>
  </si>
  <si>
    <t xml:space="preserve"> As of  JULY 31, 2024</t>
  </si>
  <si>
    <t>Cash Balance as of  July  01, 2024</t>
  </si>
  <si>
    <t>Add: Receipts for the month of July 2024</t>
  </si>
  <si>
    <t>Less: Expenses  for the month of July 2024</t>
  </si>
  <si>
    <t>Less: Deposits for the month of July 2024</t>
  </si>
  <si>
    <t xml:space="preserve">Cash Balance as of July 31, 2024 </t>
  </si>
  <si>
    <t>Cash in Bank as of  July 31, 2024</t>
  </si>
  <si>
    <t xml:space="preserve">     Add: Deposits - July 17, 2024</t>
  </si>
  <si>
    <t xml:space="preserve">              Deposits - July 22, 2024</t>
  </si>
  <si>
    <t>For the month of July 2024</t>
  </si>
  <si>
    <t>Maricel</t>
  </si>
  <si>
    <t>Josefina Avila</t>
  </si>
  <si>
    <t>Thelma</t>
  </si>
  <si>
    <t>Lucy S, &amp; Atienza family</t>
  </si>
  <si>
    <t>Lucia Gacuma</t>
  </si>
  <si>
    <t>Banog family</t>
  </si>
  <si>
    <t>Elmer Buere &amp; family</t>
  </si>
  <si>
    <t>July 17, 2024</t>
  </si>
  <si>
    <t xml:space="preserve">Utility Expenses ( Meralco  Bill - May 21-June 20 ) </t>
  </si>
  <si>
    <t>July 27, 2024</t>
  </si>
  <si>
    <t>Labor/Materials and Repairs Expenses (  repair of ceiling )</t>
  </si>
  <si>
    <t>Stipend  for the month of July 2024</t>
  </si>
  <si>
    <t xml:space="preserve"> As of  AUGUST 31, 2024</t>
  </si>
  <si>
    <t>Cash Balance as of August  01, 2024</t>
  </si>
  <si>
    <t>Less: Expenses  for the month of August 2024</t>
  </si>
  <si>
    <t>August 4</t>
  </si>
  <si>
    <t>August 8</t>
  </si>
  <si>
    <t>August 9</t>
  </si>
  <si>
    <t>August 10</t>
  </si>
  <si>
    <t>August 11</t>
  </si>
  <si>
    <t>August 23</t>
  </si>
  <si>
    <t>August 25</t>
  </si>
  <si>
    <t>Parol ( partial payment )</t>
  </si>
  <si>
    <t>Labor expenses ( Sub-meter removal )</t>
  </si>
  <si>
    <t>Labor expenses ( Fabrication of metal cabinet )</t>
  </si>
  <si>
    <t>Food expenses ( Food share for Father Von's anniversary )</t>
  </si>
  <si>
    <t>Donation ( Abuloy to former SPPC Choir)</t>
  </si>
  <si>
    <t>Cash in Bank as of  August 31, 2024</t>
  </si>
  <si>
    <t xml:space="preserve">Cash Balance as of August 31, 2024 </t>
  </si>
  <si>
    <t xml:space="preserve">     Add: Deposits -  August 28, 2024</t>
  </si>
  <si>
    <t>Add: Receipts for the month of August 2024</t>
  </si>
  <si>
    <t>Stipend  for the month of August 2024</t>
  </si>
  <si>
    <t>For the month of August 2024</t>
  </si>
  <si>
    <t>Relyne Calonge</t>
  </si>
  <si>
    <t>Meldie</t>
  </si>
  <si>
    <t>Rani</t>
  </si>
  <si>
    <t>Mrs. Salas</t>
  </si>
  <si>
    <t>For the month of September 2024</t>
  </si>
  <si>
    <t>Meldie Torres</t>
  </si>
  <si>
    <t>Regide Meneses</t>
  </si>
  <si>
    <t>Nida Angels</t>
  </si>
  <si>
    <t>Annie Alejandia</t>
  </si>
  <si>
    <t>Meldy Torres</t>
  </si>
  <si>
    <t>Susan Chua Uy</t>
  </si>
  <si>
    <t>Helen C. &amp; J. Pasamba</t>
  </si>
  <si>
    <t>Stipend  for the month of September 2024</t>
  </si>
  <si>
    <t>Cash Balance as of September 01, 2024</t>
  </si>
  <si>
    <t>Add: Receipts for the month of September 2024</t>
  </si>
  <si>
    <t>September 17</t>
  </si>
  <si>
    <t>September 7</t>
  </si>
  <si>
    <t>September 13</t>
  </si>
  <si>
    <t>September 14</t>
  </si>
  <si>
    <t>September 20</t>
  </si>
  <si>
    <t>September 22</t>
  </si>
  <si>
    <t>September 24</t>
  </si>
  <si>
    <t>Less: Deposits for the month of September 2024</t>
  </si>
  <si>
    <t xml:space="preserve">Cash Balance as of September 30, 2024 </t>
  </si>
  <si>
    <t>Less: Expenses  for the month of September 2024</t>
  </si>
  <si>
    <t xml:space="preserve"> As of  September 30, 2024</t>
  </si>
  <si>
    <t>Cash in Bank as of  September 30, 2024</t>
  </si>
  <si>
    <t xml:space="preserve">     Add: Deposits -</t>
  </si>
  <si>
    <t>Battery for wireless microphones</t>
  </si>
  <si>
    <t>Cleaning materials ( brooms and walis ting-ting)</t>
  </si>
  <si>
    <t>Tarpaulin for Fiesta at SLRP</t>
  </si>
  <si>
    <t xml:space="preserve">Electricity  Expenses ( Meralco  Bill -   July21 to August 20  ) </t>
  </si>
  <si>
    <t>Mass Stipend ( Novena mass - SPPC sponsor )</t>
  </si>
  <si>
    <t>Food share for the guest Priest ( Novena mass )</t>
  </si>
  <si>
    <t>Expenses for the Cleaning of Chapel's lectric fans</t>
  </si>
  <si>
    <t>Purchase of chlorine used outside the chapel</t>
  </si>
  <si>
    <t xml:space="preserve">Water Expenses ( Billing period -  July 12-August 11 ) </t>
  </si>
  <si>
    <t xml:space="preserve">Utility Expenses ( Meralco  Bill -   June 21 to July 20  ) </t>
  </si>
  <si>
    <t>Laundry Expenses ( Dry Clean - Santo clothes )</t>
  </si>
  <si>
    <t>Less: Deposits for the month of August 2024</t>
  </si>
  <si>
    <t>Transporation Expenses ( Convention Center re: Gabi ng Parokya)</t>
  </si>
  <si>
    <t>For the month of October 2024</t>
  </si>
  <si>
    <t xml:space="preserve">October </t>
  </si>
  <si>
    <t>Jerry</t>
  </si>
  <si>
    <t>Pres SaraNanette</t>
  </si>
  <si>
    <t>Imelda Torres</t>
  </si>
  <si>
    <t>Gary Mariano</t>
  </si>
  <si>
    <t>Damian Family</t>
  </si>
  <si>
    <t>Basilia Family</t>
  </si>
  <si>
    <t>blank</t>
  </si>
  <si>
    <t>Nida Albato</t>
  </si>
  <si>
    <t>Melanie Tabuena</t>
  </si>
  <si>
    <t>Grace Villaresco</t>
  </si>
  <si>
    <t>Rad Saringan</t>
  </si>
  <si>
    <t xml:space="preserve"> As of  October 31, 2024</t>
  </si>
  <si>
    <t>Add: Receipts for the month of October 2024</t>
  </si>
  <si>
    <t>Less: Expenses  for the month of October 2024</t>
  </si>
  <si>
    <t>Less: Deposits for the month of October 2024</t>
  </si>
  <si>
    <t xml:space="preserve">Cash Balance as of October 31, 2024 </t>
  </si>
  <si>
    <t>Cash in Bank as of  October 31, 2024</t>
  </si>
  <si>
    <t>October 7</t>
  </si>
  <si>
    <t>Cash Balance as of October 01, 2024</t>
  </si>
  <si>
    <t>env #14</t>
  </si>
  <si>
    <t>env #24</t>
  </si>
  <si>
    <t>env #21</t>
  </si>
  <si>
    <t>Stipend - Oct 17 &amp; 19</t>
  </si>
  <si>
    <t>No Official Receipt/Donations from envelopes</t>
  </si>
  <si>
    <t>Banderitas</t>
  </si>
  <si>
    <t>October 6</t>
  </si>
  <si>
    <t xml:space="preserve">Flowers Share at SLR Parish </t>
  </si>
  <si>
    <t>Repair of ceiling (kitchen)</t>
  </si>
  <si>
    <t xml:space="preserve">Electricity  Expenses ( Meralco  Bill -   August 211 to September 20  ) </t>
  </si>
  <si>
    <t xml:space="preserve">Water Expenses ( Billing period -  August 12-September 11 ) </t>
  </si>
  <si>
    <t>Gift and Food Share ( Father Von's birthday )</t>
  </si>
  <si>
    <t>October 9</t>
  </si>
  <si>
    <t>October 22</t>
  </si>
  <si>
    <t>October 11</t>
  </si>
  <si>
    <t>October 10</t>
  </si>
  <si>
    <t>Labor expenses ( for Banderitas )</t>
  </si>
  <si>
    <t>October 31</t>
  </si>
  <si>
    <t xml:space="preserve"> Fiesta Expenses (attached sched )</t>
  </si>
  <si>
    <t>Donations  ( net of Stipend ) including Collections/donations from Fiesta Pledges</t>
  </si>
  <si>
    <t xml:space="preserve">   Donations from Mass Intentions /Fiesta Collections/Pledges:  (see  Schedule A)</t>
  </si>
  <si>
    <t xml:space="preserve">     Less: Withdrawals ( Oct. 7 &amp; 17)</t>
  </si>
  <si>
    <t>Dry Clean ( Santo Clothes )</t>
  </si>
  <si>
    <t>November</t>
  </si>
  <si>
    <t>Grafil Family</t>
  </si>
  <si>
    <t xml:space="preserve">Imelda </t>
  </si>
  <si>
    <t>Jonie</t>
  </si>
  <si>
    <t>For the month of November 2024</t>
  </si>
  <si>
    <t xml:space="preserve"> As of  November 30, 2024</t>
  </si>
  <si>
    <t>Less: Expenses  for the month of November 2024</t>
  </si>
  <si>
    <t>env #7</t>
  </si>
  <si>
    <t>env # 13</t>
  </si>
  <si>
    <t>Stipend  for the month of October 2024</t>
  </si>
  <si>
    <t>FIESTA COLLECTION from Envelopes:</t>
  </si>
  <si>
    <t xml:space="preserve">   Total as counted by Lucy, Gina &amp; Lucky  ……………</t>
  </si>
  <si>
    <t xml:space="preserve"> Env. No.</t>
  </si>
  <si>
    <r>
      <t xml:space="preserve">Rcpt. </t>
    </r>
    <r>
      <rPr>
        <i/>
        <sz val="11"/>
        <color theme="1"/>
        <rFont val="Calibri"/>
        <family val="2"/>
        <scheme val="minor"/>
      </rPr>
      <t>#</t>
    </r>
  </si>
  <si>
    <t xml:space="preserve">Luz Damian </t>
  </si>
  <si>
    <t>Merly Pagayon</t>
  </si>
  <si>
    <t>(10/19)</t>
  </si>
  <si>
    <t>Emma Ortega</t>
  </si>
  <si>
    <t>M. Tabuena</t>
  </si>
  <si>
    <t>Lara Fam.</t>
  </si>
  <si>
    <t>(10/17)</t>
  </si>
  <si>
    <t>Emily Silva</t>
  </si>
  <si>
    <t>Eloisa Banog</t>
  </si>
  <si>
    <t>Bautro Fam.</t>
  </si>
  <si>
    <t>Masong Fam.</t>
  </si>
  <si>
    <t>Chua-Uy &amp; Padua Fam.</t>
  </si>
  <si>
    <t>Grace Conseja</t>
  </si>
  <si>
    <t>Gina Singun</t>
  </si>
  <si>
    <t>Ellen Mendoza</t>
  </si>
  <si>
    <t>Nanette Sara</t>
  </si>
  <si>
    <t>(10/18)</t>
  </si>
  <si>
    <t>Saringan Fam.</t>
  </si>
  <si>
    <t>Howie</t>
  </si>
  <si>
    <t>With OR</t>
  </si>
  <si>
    <t>Collections from Envelopes</t>
  </si>
  <si>
    <t>DONORS:</t>
  </si>
  <si>
    <t>Rcpt. No.</t>
  </si>
  <si>
    <t>TOTAL COLLECTION  ……………</t>
  </si>
  <si>
    <t>FIESTA EXPENSES:</t>
  </si>
  <si>
    <t>Catering  ………………….</t>
  </si>
  <si>
    <t>Extra fee for catering crew</t>
  </si>
  <si>
    <t>Food for drum &amp; lyre</t>
  </si>
  <si>
    <t>Flowers for altar</t>
  </si>
  <si>
    <t>Additional flowers for caroza</t>
  </si>
  <si>
    <t>Drum &amp; Lyre Fee</t>
  </si>
  <si>
    <t>Other Expenses:</t>
  </si>
  <si>
    <t>Caroza bulbs</t>
  </si>
  <si>
    <t>Misc.(paper cup, plastic tubs)</t>
  </si>
  <si>
    <t>Fiesta Tarpaulin</t>
  </si>
  <si>
    <t>Bulbs for altar</t>
  </si>
  <si>
    <t>Bottled water /snack for prosisyon</t>
  </si>
  <si>
    <t>Bioman services 10/17-20 - see attached</t>
  </si>
  <si>
    <t>Bottled water for Drum &amp; Lyre</t>
  </si>
  <si>
    <t>Bibingka &amp; puto for Fr. Von, (SLRP staff)</t>
  </si>
  <si>
    <t>Misc.: d.washing liquied, sponge, soap</t>
  </si>
  <si>
    <t xml:space="preserve">     TOTAL EXPENSES  …………………………………………</t>
  </si>
  <si>
    <t>TOTAL COLLECTION  ………………………………………….</t>
  </si>
  <si>
    <t>Cash withdrawal from NOC  ……………….</t>
  </si>
  <si>
    <t>Less:  Total Expenses  …………</t>
  </si>
  <si>
    <t xml:space="preserve"> NET CASH BALANCE  ………………………………..</t>
  </si>
  <si>
    <t>19000-1000-600</t>
  </si>
  <si>
    <t>Stipend  for the month of November 2024</t>
  </si>
  <si>
    <t xml:space="preserve">November </t>
  </si>
  <si>
    <t>Cash Balance as of November 01, 2024</t>
  </si>
  <si>
    <t>Add: Receipts for the month of November 2024</t>
  </si>
  <si>
    <t xml:space="preserve">Cash Balance as of November 30, 2024 </t>
  </si>
  <si>
    <t>Cash in Bank as of  November 30, 2024</t>
  </si>
  <si>
    <t>For the month of December 2024</t>
  </si>
  <si>
    <t xml:space="preserve"> As of  December 31, 2024</t>
  </si>
  <si>
    <t>Cash Balance as of December 01, 2024</t>
  </si>
  <si>
    <t>Add: Receipts for the month of December 2024</t>
  </si>
  <si>
    <t>Stipend  for the month of December 2024</t>
  </si>
  <si>
    <t>November 3</t>
  </si>
  <si>
    <t>November 16</t>
  </si>
  <si>
    <t>Financial Assistance to DLC IV (Feast of Christ the King)</t>
  </si>
  <si>
    <t>Stipend - DCV mass sponsor on Novenario Masses</t>
  </si>
  <si>
    <t>November 17</t>
  </si>
  <si>
    <t>November 26</t>
  </si>
  <si>
    <t>Purchase of christmas lights ( chapel décor )</t>
  </si>
  <si>
    <t>November 29</t>
  </si>
  <si>
    <t xml:space="preserve">Labor expenses ( Bioman 's assistance in the   decoration and cleaning of the chapel </t>
  </si>
  <si>
    <t>env # 17</t>
  </si>
  <si>
    <t xml:space="preserve">     Add: Deposits - November 22, 2024</t>
  </si>
  <si>
    <t>Less: Deposits for the month of November 2024</t>
  </si>
  <si>
    <t xml:space="preserve">Donations  ( net of Stipend ) </t>
  </si>
  <si>
    <t xml:space="preserve">   Donations from Mass Intentions   (see  Schedule A)</t>
  </si>
  <si>
    <t>Jane Pasamba &amp; Family</t>
  </si>
  <si>
    <t>Beng Grafil &amp; Family</t>
  </si>
  <si>
    <t>Lucy &amp; Family</t>
  </si>
  <si>
    <t>Lucy Salas</t>
  </si>
  <si>
    <t>Juvy Mateo</t>
  </si>
  <si>
    <t>Susan Chua</t>
  </si>
  <si>
    <t>Freddie Damian</t>
  </si>
  <si>
    <t>stipend</t>
  </si>
  <si>
    <t>Terrie Pisalbon</t>
  </si>
  <si>
    <t>Molina Family</t>
  </si>
  <si>
    <t>Leaticia</t>
  </si>
  <si>
    <t>Riz Damian</t>
  </si>
  <si>
    <t>Lea Tamayo</t>
  </si>
  <si>
    <t>Erlinda</t>
  </si>
  <si>
    <t>Henry Ortega</t>
  </si>
  <si>
    <t>Madel/Helen/Jane</t>
  </si>
  <si>
    <t>Roger &amp; Emma Belino</t>
  </si>
  <si>
    <t>Liwayway Molina</t>
  </si>
  <si>
    <t>Bel</t>
  </si>
  <si>
    <t xml:space="preserve">Helen </t>
  </si>
  <si>
    <t>Centeno Family</t>
  </si>
  <si>
    <t>Less: Expenses  for the month of December 2024</t>
  </si>
  <si>
    <t>December 1</t>
  </si>
  <si>
    <t>Battery for microphone  used at Chapel</t>
  </si>
  <si>
    <t>Electricity  Expenses ( Meralco  Bill -   Sept 21 to Nov 20 )</t>
  </si>
  <si>
    <t xml:space="preserve">Water Expenses ( Billing period -  Sept 11-Nov 11 ) </t>
  </si>
  <si>
    <t>Purchase of colored bulbs</t>
  </si>
  <si>
    <t xml:space="preserve">     Less: Withdrawals ( Dec 5)</t>
  </si>
  <si>
    <t>stipend-Dec 15</t>
  </si>
  <si>
    <t>stipend-Dec 16</t>
  </si>
  <si>
    <t>stipend - Dec 18</t>
  </si>
  <si>
    <t>stipend - Dec 19</t>
  </si>
  <si>
    <t>stipend - Dec 25</t>
  </si>
  <si>
    <t>stipend - Dec 23</t>
  </si>
  <si>
    <t>stipend - Dec 20, 21, &amp; 22</t>
  </si>
  <si>
    <t>stipend-Dec 15, 16 &amp;17</t>
  </si>
  <si>
    <t xml:space="preserve">  </t>
  </si>
  <si>
    <t>Less: Deposits for the month of December 2024</t>
  </si>
  <si>
    <t>Ordo</t>
  </si>
  <si>
    <t>Gel Candles</t>
  </si>
  <si>
    <t>Parol (last payment)</t>
  </si>
  <si>
    <t>SPPC share ( Angels-SLR Parish )</t>
  </si>
  <si>
    <t>Repair of 2 outlets (Chapel)</t>
  </si>
  <si>
    <t>December 3</t>
  </si>
  <si>
    <t>December 4</t>
  </si>
  <si>
    <t>December 6</t>
  </si>
  <si>
    <t>December 7</t>
  </si>
  <si>
    <t>December 11</t>
  </si>
  <si>
    <t>December 12</t>
  </si>
  <si>
    <t>Food for SLRP carolers</t>
  </si>
  <si>
    <t>Spray paint/bulb</t>
  </si>
  <si>
    <t>December 17</t>
  </si>
  <si>
    <t>December 13</t>
  </si>
  <si>
    <t>December 20</t>
  </si>
  <si>
    <t>December 22</t>
  </si>
  <si>
    <t>December 25</t>
  </si>
  <si>
    <t>December 29</t>
  </si>
  <si>
    <t>December 30</t>
  </si>
  <si>
    <t>Gift Check for Fr. Von</t>
  </si>
  <si>
    <t>Grace Conseja - Food for Dec 21 &amp; Dec 25</t>
  </si>
  <si>
    <t>Food Share for SLR Parish christmas party</t>
  </si>
  <si>
    <t>Purchase of Monde mamon and candies for SLR Parish</t>
  </si>
  <si>
    <t>SPPC - Sponsor for Simbang Gabi</t>
  </si>
  <si>
    <t>Installation of christmas decors</t>
  </si>
  <si>
    <t>Purchase of small envelopes</t>
  </si>
  <si>
    <t>Christmas goods for 3 Bioman</t>
  </si>
  <si>
    <t>Cash in Bank as of  December 31, 2024</t>
  </si>
  <si>
    <t>December 19</t>
  </si>
  <si>
    <t>December 21</t>
  </si>
  <si>
    <t>Take-out food for Father Von ( Dec 18 &amp; 19)</t>
  </si>
  <si>
    <t xml:space="preserve">Take-out food for Father Von </t>
  </si>
  <si>
    <t xml:space="preserve">Cash Balance as of December 31, 2024 </t>
  </si>
  <si>
    <t xml:space="preserve">   Donations from Mass Intentions /Pledges:  (see  Schedule A)</t>
  </si>
  <si>
    <t>Ris Centeno</t>
  </si>
  <si>
    <t>Baby Borris</t>
  </si>
  <si>
    <t>Candles for Chapel</t>
  </si>
  <si>
    <t>For the month of January 2025</t>
  </si>
  <si>
    <t xml:space="preserve"> As of  January 31, 2025</t>
  </si>
  <si>
    <t xml:space="preserve">Lucy </t>
  </si>
  <si>
    <t>Aveles family</t>
  </si>
  <si>
    <t>christmas envelope</t>
  </si>
  <si>
    <t>Nida Angeles</t>
  </si>
  <si>
    <t>Nani</t>
  </si>
  <si>
    <t>Dr. Gonzalo</t>
  </si>
  <si>
    <t>Mary Ann</t>
  </si>
  <si>
    <t xml:space="preserve">Beng Grafil </t>
  </si>
  <si>
    <t>Art De Leon &amp; family</t>
  </si>
  <si>
    <t>Cash Balance as of January 01, 2021</t>
  </si>
  <si>
    <t>Add: Receipts for the month of January 2025</t>
  </si>
  <si>
    <t>Less: Expenses  for the month of January 2025</t>
  </si>
  <si>
    <t>Stipend  for the month of January 2025</t>
  </si>
  <si>
    <t>27 January 2025</t>
  </si>
  <si>
    <t>30 January 2025</t>
  </si>
  <si>
    <t>06 January 2025</t>
  </si>
  <si>
    <t>January 4</t>
  </si>
  <si>
    <t>January 16</t>
  </si>
  <si>
    <t>January 17</t>
  </si>
  <si>
    <t>Funeral Flower for the late Lorena Bianzon</t>
  </si>
  <si>
    <t>Repair Expenses of Electric Fan</t>
  </si>
  <si>
    <t xml:space="preserve">     Add: Deposits - Jan 6, 2025</t>
  </si>
  <si>
    <t xml:space="preserve">     Less: Withdrawals ( Jan 27 &amp; 30 )</t>
  </si>
  <si>
    <t>No Official Receipts</t>
  </si>
  <si>
    <t>For the month of February 2025</t>
  </si>
  <si>
    <t>Nani Domingo</t>
  </si>
  <si>
    <t>Christmas Tarpaulin (Simbang Gabi)</t>
  </si>
  <si>
    <t xml:space="preserve">Aveles </t>
  </si>
  <si>
    <t>Stipend  for the month of February 2025</t>
  </si>
  <si>
    <t xml:space="preserve"> As of  February 28, 2025</t>
  </si>
  <si>
    <t>Cash Balance as of February 01, 2025</t>
  </si>
  <si>
    <t>Add: Receipts for the month of February 2025</t>
  </si>
  <si>
    <t>Less: Deposits for the month of January 2025</t>
  </si>
  <si>
    <t>Cash Balance as of January 31, 2025</t>
  </si>
  <si>
    <t>Cash in Bank as of  January 31, 2025</t>
  </si>
  <si>
    <t>Cash in Bank as of  February 28, 2025</t>
  </si>
  <si>
    <t xml:space="preserve">     Add: Deposits </t>
  </si>
  <si>
    <t>Less: Deposits for the month of February 2025</t>
  </si>
  <si>
    <t>Cash Balance as of February 28, 2025</t>
  </si>
  <si>
    <t>Less: Expenses  for the month of February 2025</t>
  </si>
  <si>
    <t>No amount</t>
  </si>
  <si>
    <t>February 1</t>
  </si>
  <si>
    <t>Labor= 8170.00 + Materials=9030.00</t>
  </si>
  <si>
    <t>Labor and Materials for Repainting of Chapel Roof</t>
  </si>
  <si>
    <t>Labor= 13,500.00 + Materials=8,506.00</t>
  </si>
  <si>
    <t>February 2</t>
  </si>
  <si>
    <t>February 10</t>
  </si>
  <si>
    <t>February 15</t>
  </si>
  <si>
    <t>Purchase of Spotlights at the Altar</t>
  </si>
  <si>
    <t>Labor expenses - installation of spotlights, removal of old signage</t>
  </si>
  <si>
    <t>February 16</t>
  </si>
  <si>
    <t>February 17</t>
  </si>
  <si>
    <t>Labor expenses - replaced damaged faucet and installation of jubilee parol</t>
  </si>
  <si>
    <t xml:space="preserve">Purchase of Jubilee Parol </t>
  </si>
  <si>
    <t xml:space="preserve">Water Expenses ( Billing period -  Nov 11 to Dec 11 ) </t>
  </si>
  <si>
    <t xml:space="preserve">Water Expenses ( Billing period -  Dec 11 2024 to Feb 11 2025) ) </t>
  </si>
  <si>
    <t>Electricity  Expenses ( Meralco  Bill -   Dec 21 to Jan 21 )</t>
  </si>
  <si>
    <t>Dry Cleaning expenses</t>
  </si>
  <si>
    <t>Flower Sponsor</t>
  </si>
  <si>
    <t>Food expenses for Father Von's Anniversary</t>
  </si>
  <si>
    <t>Purcahse of Varnish  used for  Sto. Entierro Carosa</t>
  </si>
  <si>
    <t>February 18</t>
  </si>
  <si>
    <t>February 19</t>
  </si>
  <si>
    <t>February 21</t>
  </si>
  <si>
    <t>February 27</t>
  </si>
  <si>
    <t>Electricity  Expenses ( Meralco  Bill - Nov 21 to Dec 20 )</t>
  </si>
  <si>
    <t>For the month of March 2025</t>
  </si>
  <si>
    <t xml:space="preserve"> As of  March 31, 2025</t>
  </si>
  <si>
    <t>Cash Balance as of March 01, 2025</t>
  </si>
  <si>
    <t>Add: Receipts for the month of March 2025</t>
  </si>
  <si>
    <t>Less: Expenses  for the month of March 2025</t>
  </si>
  <si>
    <t>Less: Deposits for the month of March 2025</t>
  </si>
  <si>
    <t>Cash Balance as of March 31, 2025</t>
  </si>
  <si>
    <t>Cash in Bank as of  March 31, 2025</t>
  </si>
  <si>
    <t>Stipend  for the month of March 2025</t>
  </si>
  <si>
    <t>March 8</t>
  </si>
  <si>
    <t>March 19</t>
  </si>
  <si>
    <t>March 20</t>
  </si>
  <si>
    <t>March 21</t>
  </si>
  <si>
    <t>March 28</t>
  </si>
  <si>
    <t xml:space="preserve">Purchase of big Jubilee Parol </t>
  </si>
  <si>
    <t>Food expenses ( Snacks for Daan ng Krus )</t>
  </si>
  <si>
    <t xml:space="preserve">Water Expenses ( Billing period -  Feb11  to March 11 2025) ) </t>
  </si>
  <si>
    <t>Donation for Basic Bible Seminar held at Casa</t>
  </si>
  <si>
    <t>Electricity  Expenses  ( Meralco  Bill Share -   Jan 19 to Feb 19 2025 )</t>
  </si>
  <si>
    <t>Lucy  Saramosing</t>
  </si>
  <si>
    <t>Alyssa Aviles</t>
  </si>
  <si>
    <t>Cancelled</t>
  </si>
  <si>
    <t>Lara Family</t>
  </si>
  <si>
    <t>Mary Ann Padua</t>
  </si>
  <si>
    <t>Lorie</t>
  </si>
  <si>
    <t>Ebon</t>
  </si>
  <si>
    <t>Relyn Calonge</t>
  </si>
  <si>
    <t>For the month of April  2025</t>
  </si>
  <si>
    <t>Gina Albarido &amp; family</t>
  </si>
  <si>
    <t>Victor Palan</t>
  </si>
  <si>
    <t>Stipend  for the month of April 2025</t>
  </si>
  <si>
    <t xml:space="preserve"> As of  April 30, 2025</t>
  </si>
  <si>
    <t>Cash Balance as of April 01, 2025</t>
  </si>
  <si>
    <t>Add: Receipts for the month of April 2025</t>
  </si>
  <si>
    <t xml:space="preserve">   Donations ( Alay Kapwa Envelopes )</t>
  </si>
  <si>
    <t>Less: Expenses  for the month of April 2025</t>
  </si>
  <si>
    <t>Cash in Bank as of  April 30, 2025</t>
  </si>
  <si>
    <t>Cash Balance as of April 30, 2025</t>
  </si>
  <si>
    <t>Less: Deposits for the month of April 2025</t>
  </si>
  <si>
    <t>April 4</t>
  </si>
  <si>
    <t>April 13</t>
  </si>
  <si>
    <t>April 14</t>
  </si>
  <si>
    <t>April 16</t>
  </si>
  <si>
    <t>April 19</t>
  </si>
  <si>
    <t>April 24</t>
  </si>
  <si>
    <t>Plumbing Repairs/Materials</t>
  </si>
  <si>
    <t>DCV-SPPC Sponsor at SLRP( Ibon &amp; Wine )</t>
  </si>
  <si>
    <t>Expenses for Chrism Mass at Malolos by DCV-SPPC representative</t>
  </si>
  <si>
    <t xml:space="preserve">Water Expenses ( Billing period -  March 11  to April 11 2025) ) </t>
  </si>
  <si>
    <t>Pabasa &amp; Vigil Expenses ( Coffee, etc.)</t>
  </si>
  <si>
    <t>DCV-SPPC Sponsor at SLRP Sabado De Gloria ( Pancit Bilao )</t>
  </si>
  <si>
    <t>Electricity  Expenses  ( Meralco  Bill Share -   Feb 20 to March 19 2025 )</t>
  </si>
  <si>
    <t>Financial Assistance (for Lucky's hospitalization)</t>
  </si>
  <si>
    <t xml:space="preserve">Altar Table ( worth 5000  less 2000 - (donation from Ate Tina )) </t>
  </si>
  <si>
    <t>For the month of May  2025</t>
  </si>
  <si>
    <t>Regie Estrada</t>
  </si>
  <si>
    <t xml:space="preserve"> As of  May 31, 2025</t>
  </si>
  <si>
    <t>Cash Balance as of May 01, 2025</t>
  </si>
  <si>
    <t>Add: Receipts for the month of May 2025</t>
  </si>
  <si>
    <t>Less: Expenses  for the month of May 2025</t>
  </si>
  <si>
    <t>Cash Balance as of May 31, 2025</t>
  </si>
  <si>
    <t>Cash in Bank as of  May 31, 2025</t>
  </si>
  <si>
    <t>uncollected</t>
  </si>
  <si>
    <t>May  14</t>
  </si>
  <si>
    <t>Food Sponsor ( Estasyon ng Muling Pagkabuhay)</t>
  </si>
  <si>
    <t>May  19</t>
  </si>
  <si>
    <t>Electricity  Expenses  ( Meralco  Bill Share -   March 21 20 to April 20 2025 )</t>
  </si>
  <si>
    <t>May  20</t>
  </si>
  <si>
    <t xml:space="preserve">Water Expenses ( Billing period -  April 11  to May 11 2025) ) </t>
  </si>
  <si>
    <t xml:space="preserve">DCV - SPPC Mass Sponsor - Novenario at SLRP </t>
  </si>
  <si>
    <t>excess ( donations )</t>
  </si>
  <si>
    <t>excess ( collections )</t>
  </si>
  <si>
    <t>For the month of  June 2025</t>
  </si>
  <si>
    <t xml:space="preserve"> As of  June 30, 2025</t>
  </si>
  <si>
    <t>Cash Balance as of June 01, 2025</t>
  </si>
  <si>
    <t>Add: Receipts for the month of June 2025</t>
  </si>
  <si>
    <t>Less: Expenses  for the month of June 2025</t>
  </si>
  <si>
    <t>June  14</t>
  </si>
  <si>
    <t>Less: Deposits for the month of June 2025</t>
  </si>
  <si>
    <t>Cash Balance as of June 30, 2025</t>
  </si>
  <si>
    <t>Cash in Bank as of  June 30, 2025</t>
  </si>
  <si>
    <t>Stipend  for the month of June 2025</t>
  </si>
  <si>
    <t>June  15</t>
  </si>
  <si>
    <t xml:space="preserve">Water Expenses ( Billing period -  May 11  to June 11 2025) ) </t>
  </si>
  <si>
    <t xml:space="preserve">Flower  Sponsor ( DCV-SPPC) </t>
  </si>
  <si>
    <t>June  17</t>
  </si>
  <si>
    <t>June  22</t>
  </si>
  <si>
    <t>June  24</t>
  </si>
  <si>
    <t>June  27</t>
  </si>
  <si>
    <t>Flower  Sponsor for the Feast of Corpus Christi</t>
  </si>
  <si>
    <t>Purchase of battery for wireless microphones</t>
  </si>
  <si>
    <t>Electricity  Expenses  ( Meralco  Bill Share -  April 21 20 to May 20 2025 )</t>
  </si>
  <si>
    <t>Mrs. Molina</t>
  </si>
  <si>
    <t>Edna</t>
  </si>
  <si>
    <t>Eloi Banog</t>
  </si>
  <si>
    <t>Abad Family</t>
  </si>
  <si>
    <t>No Receipt</t>
  </si>
  <si>
    <t>Less: Deposits for the month of May 2025</t>
  </si>
  <si>
    <t>For the month of  July 2025</t>
  </si>
  <si>
    <t>Thesa</t>
  </si>
  <si>
    <t>Tina Mur;a</t>
  </si>
  <si>
    <t>Maria Luisa</t>
  </si>
  <si>
    <t>Geraldine</t>
  </si>
  <si>
    <t xml:space="preserve"> As of  July 31, 2025</t>
  </si>
  <si>
    <t>Cash Balance as of July01 , 2025</t>
  </si>
  <si>
    <t>Add: Receipts for the month of July 2025</t>
  </si>
  <si>
    <t>Less: Expenses  for the month of July 2025</t>
  </si>
  <si>
    <t>July 08</t>
  </si>
  <si>
    <t>July 16</t>
  </si>
  <si>
    <t xml:space="preserve">Water Expenses ( Billing period -  June 11  to July 11 2025) ) </t>
  </si>
  <si>
    <t>July 31</t>
  </si>
  <si>
    <t>Less: Deposits for the month of July2025</t>
  </si>
  <si>
    <t>Cash Balance as of July 31, 2025</t>
  </si>
  <si>
    <t>Labor &amp; Meal Expenses ( Bioman - cleaning/cutting mango tree )</t>
  </si>
  <si>
    <t>Stipend  for the month of July 2025</t>
  </si>
  <si>
    <t>Cash in Bank as of  July 31, 2025</t>
  </si>
  <si>
    <t>Diamond Crest Village , Brgy, San Manuel, San Jose DelMonte City, Bulacan</t>
  </si>
  <si>
    <t xml:space="preserve">Labor  Expenses  (cleaning roof and cutting/trimming  trees ) </t>
  </si>
  <si>
    <t>Electricity  Expenses ( Meralco  Bill Share -  May 21  to June 20 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</si>
</sst>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(* #,##0.00_);_(* \(#,##0.00\);_(* &quot;-&quot;??_);_(@_)"/>
    <numFmt numFmtId="165" formatCode="[$-3409]mmmm\ dd\,\ yyyy;@"/>
    <numFmt numFmtId="166" formatCode="_(* #,##0_);_(* \(#,##0\);_(* &quot;-&quot;??_);_(@_)"/>
  </numFmts>
  <fonts count="6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C00000"/>
      <name val="Calibri"/>
      <family val="2"/>
      <scheme val="minor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sz val="12"/>
      <color rgb="FFFF0000"/>
      <name val="Times New Roman"/>
      <family val="1"/>
    </font>
    <font>
      <sz val="12"/>
      <name val="Times New Roman"/>
      <family val="1"/>
    </font>
    <font>
      <b/>
      <sz val="12"/>
      <color theme="1"/>
      <name val="Times New Roman"/>
      <family val="1"/>
    </font>
    <font>
      <b/>
      <u/>
      <sz val="12"/>
      <color theme="1"/>
      <name val="Times New Roman"/>
      <family val="1"/>
    </font>
    <font>
      <b/>
      <sz val="12"/>
      <name val="Times New Roman"/>
      <family val="1"/>
    </font>
    <font>
      <sz val="10"/>
      <color theme="1"/>
      <name val="Times New Roman"/>
      <family val="1"/>
    </font>
    <font>
      <b/>
      <sz val="9"/>
      <color theme="1"/>
      <name val="Calibri"/>
      <family val="2"/>
      <scheme val="minor"/>
    </font>
    <font>
      <sz val="9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name val="Times New Roman"/>
      <family val="1"/>
    </font>
    <font>
      <b/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Times New Roman"/>
      <family val="1"/>
    </font>
    <font>
      <b/>
      <sz val="10"/>
      <color theme="1"/>
      <name val="Times New Roman"/>
      <family val="1"/>
    </font>
    <font>
      <sz val="10"/>
      <color rgb="FFFF0000"/>
      <name val="Times New Roman"/>
      <family val="1"/>
    </font>
    <font>
      <sz val="10"/>
      <name val="Times New Roman"/>
      <family val="1"/>
    </font>
    <font>
      <b/>
      <sz val="11"/>
      <name val="Times New Roman"/>
      <family val="1"/>
    </font>
    <font>
      <b/>
      <sz val="12"/>
      <color rgb="FFFF0000"/>
      <name val="Times New Roman"/>
      <family val="1"/>
    </font>
    <font>
      <u/>
      <sz val="14"/>
      <color theme="1"/>
      <name val="Times New Roman"/>
      <family val="1"/>
    </font>
    <font>
      <sz val="14"/>
      <color theme="1"/>
      <name val="Times New Roman"/>
      <family val="1"/>
    </font>
    <font>
      <u val="singleAccounting"/>
      <sz val="12"/>
      <color theme="1"/>
      <name val="Times New Roman"/>
      <family val="1"/>
    </font>
    <font>
      <u/>
      <sz val="12"/>
      <color theme="1"/>
      <name val="Times New Roman"/>
      <family val="1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i/>
      <sz val="12"/>
      <name val="Times New Roman"/>
      <family val="1"/>
    </font>
    <font>
      <i/>
      <sz val="12"/>
      <color theme="1"/>
      <name val="Times New Roman"/>
      <family val="1"/>
    </font>
    <font>
      <b/>
      <i/>
      <sz val="12"/>
      <color theme="1"/>
      <name val="Times New Roman"/>
      <family val="1"/>
    </font>
    <font>
      <i/>
      <sz val="11"/>
      <color theme="1"/>
      <name val="Calibri"/>
      <family val="2"/>
      <scheme val="minor"/>
    </font>
    <font>
      <b/>
      <sz val="13"/>
      <color theme="1"/>
      <name val="Times New Roman"/>
      <family val="1"/>
    </font>
    <font>
      <b/>
      <sz val="14"/>
      <color theme="1"/>
      <name val="Times New Roman"/>
      <family val="1"/>
    </font>
    <font>
      <b/>
      <u/>
      <sz val="14"/>
      <color theme="1"/>
      <name val="Times New Roman"/>
      <family val="1"/>
    </font>
    <font>
      <sz val="14"/>
      <name val="Times New Roman"/>
      <family val="1"/>
    </font>
    <font>
      <sz val="14"/>
      <color rgb="FFFF0000"/>
      <name val="Times New Roman"/>
      <family val="1"/>
    </font>
    <font>
      <u val="singleAccounting"/>
      <sz val="14"/>
      <color theme="1"/>
      <name val="Times New Roman"/>
      <family val="1"/>
    </font>
    <font>
      <sz val="13"/>
      <color theme="1"/>
      <name val="Times New Roman"/>
      <family val="1"/>
    </font>
    <font>
      <b/>
      <strike/>
      <sz val="14"/>
      <color theme="1"/>
      <name val="Times New Roman"/>
      <family val="1"/>
    </font>
    <font>
      <i/>
      <u/>
      <sz val="11"/>
      <color theme="1"/>
      <name val="Calibri"/>
      <family val="2"/>
      <scheme val="minor"/>
    </font>
    <font>
      <b/>
      <u val="singleAccounting"/>
      <sz val="14"/>
      <color theme="1"/>
      <name val="Times New Roman"/>
      <family val="1"/>
    </font>
    <font>
      <i/>
      <sz val="11"/>
      <color rgb="FFFF0000"/>
      <name val="Calibri"/>
      <family val="2"/>
      <scheme val="minor"/>
    </font>
    <font>
      <b/>
      <u val="singleAccounting"/>
      <sz val="14"/>
      <name val="Times New Roman"/>
      <family val="1"/>
    </font>
    <font>
      <sz val="10"/>
      <color theme="1"/>
      <name val="Arial"/>
      <family val="2"/>
    </font>
    <font>
      <i/>
      <sz val="11"/>
      <color theme="1"/>
      <name val="Times New Roman"/>
      <family val="1"/>
    </font>
    <font>
      <u val="doubleAccounting"/>
      <sz val="14"/>
      <color theme="1"/>
      <name val="Times New Roman"/>
      <family val="1"/>
    </font>
    <font>
      <b/>
      <u val="doubleAccounting"/>
      <sz val="14"/>
      <name val="Times New Roman"/>
      <family val="1"/>
    </font>
    <font>
      <b/>
      <sz val="14"/>
      <name val="Times New Roman"/>
      <family val="1"/>
    </font>
    <font>
      <b/>
      <i/>
      <sz val="11"/>
      <color rgb="FFFF0000"/>
      <name val="Calibri"/>
      <family val="2"/>
      <scheme val="minor"/>
    </font>
    <font>
      <sz val="11"/>
      <color theme="1"/>
      <name val="Arial"/>
      <family val="2"/>
    </font>
    <font>
      <i/>
      <sz val="14"/>
      <color theme="1"/>
      <name val="Times New Roman"/>
      <family val="1"/>
    </font>
    <font>
      <i/>
      <sz val="11"/>
      <color theme="1"/>
      <name val="Arial"/>
      <family val="2"/>
    </font>
    <font>
      <u val="singleAccounting"/>
      <sz val="13"/>
      <color theme="1"/>
      <name val="Times New Roman"/>
      <family val="1"/>
    </font>
  </fonts>
  <fills count="1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</fills>
  <borders count="4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indexed="64"/>
      </bottom>
      <diagonal/>
    </border>
    <border>
      <left style="medium">
        <color auto="1"/>
      </left>
      <right/>
      <top style="thin">
        <color auto="1"/>
      </top>
      <bottom style="medium">
        <color indexed="64"/>
      </bottom>
      <diagonal/>
    </border>
    <border>
      <left/>
      <right/>
      <top style="thin">
        <color auto="1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indexed="64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513">
    <xf numFmtId="0" fontId="0" fillId="0" borderId="0" xfId="0"/>
    <xf numFmtId="0" fontId="0" fillId="0" borderId="0" xfId="0" applyAlignment="1">
      <alignment horizontal="center"/>
    </xf>
    <xf numFmtId="164" fontId="0" fillId="0" borderId="0" xfId="1" applyFont="1"/>
    <xf numFmtId="0" fontId="2" fillId="0" borderId="0" xfId="0" applyFont="1"/>
    <xf numFmtId="164" fontId="4" fillId="0" borderId="0" xfId="1" applyFont="1"/>
    <xf numFmtId="0" fontId="5" fillId="0" borderId="0" xfId="0" applyFont="1"/>
    <xf numFmtId="0" fontId="7" fillId="0" borderId="0" xfId="0" applyFont="1"/>
    <xf numFmtId="164" fontId="0" fillId="0" borderId="0" xfId="0" applyNumberFormat="1"/>
    <xf numFmtId="0" fontId="8" fillId="0" borderId="0" xfId="0" applyFont="1"/>
    <xf numFmtId="0" fontId="8" fillId="0" borderId="0" xfId="0" quotePrefix="1" applyFont="1" applyAlignment="1">
      <alignment horizontal="center"/>
    </xf>
    <xf numFmtId="164" fontId="8" fillId="0" borderId="0" xfId="1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164" fontId="10" fillId="0" borderId="0" xfId="1" applyFont="1"/>
    <xf numFmtId="164" fontId="11" fillId="0" borderId="0" xfId="1" applyFont="1"/>
    <xf numFmtId="164" fontId="10" fillId="0" borderId="1" xfId="1" applyFont="1" applyBorder="1"/>
    <xf numFmtId="0" fontId="8" fillId="0" borderId="0" xfId="0" applyFont="1" applyAlignment="1">
      <alignment horizontal="left"/>
    </xf>
    <xf numFmtId="0" fontId="12" fillId="0" borderId="0" xfId="0" applyFont="1"/>
    <xf numFmtId="0" fontId="8" fillId="0" borderId="0" xfId="0" applyFont="1" applyAlignment="1">
      <alignment horizontal="center"/>
    </xf>
    <xf numFmtId="0" fontId="8" fillId="0" borderId="1" xfId="0" applyFont="1" applyBorder="1" applyAlignment="1">
      <alignment horizontal="center"/>
    </xf>
    <xf numFmtId="164" fontId="8" fillId="0" borderId="0" xfId="1" applyFont="1" applyAlignment="1">
      <alignment horizontal="center"/>
    </xf>
    <xf numFmtId="0" fontId="8" fillId="0" borderId="1" xfId="0" applyFont="1" applyBorder="1"/>
    <xf numFmtId="17" fontId="11" fillId="0" borderId="0" xfId="0" quotePrefix="1" applyNumberFormat="1" applyFont="1" applyAlignment="1">
      <alignment horizontal="left"/>
    </xf>
    <xf numFmtId="0" fontId="9" fillId="0" borderId="0" xfId="0" quotePrefix="1" applyFont="1" applyAlignment="1">
      <alignment horizontal="center"/>
    </xf>
    <xf numFmtId="0" fontId="9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164" fontId="8" fillId="0" borderId="0" xfId="1" applyFont="1" applyAlignment="1">
      <alignment horizontal="left"/>
    </xf>
    <xf numFmtId="14" fontId="8" fillId="0" borderId="0" xfId="0" quotePrefix="1" applyNumberFormat="1" applyFont="1" applyAlignment="1">
      <alignment horizontal="center"/>
    </xf>
    <xf numFmtId="0" fontId="10" fillId="0" borderId="0" xfId="0" quotePrefix="1" applyFont="1" applyAlignment="1">
      <alignment horizontal="center"/>
    </xf>
    <xf numFmtId="164" fontId="11" fillId="0" borderId="0" xfId="1" applyFont="1" applyAlignment="1">
      <alignment horizontal="left"/>
    </xf>
    <xf numFmtId="0" fontId="3" fillId="0" borderId="0" xfId="0" quotePrefix="1" applyFont="1" applyAlignment="1">
      <alignment horizontal="center"/>
    </xf>
    <xf numFmtId="0" fontId="3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164" fontId="9" fillId="0" borderId="0" xfId="1" applyFont="1" applyAlignment="1">
      <alignment horizontal="left"/>
    </xf>
    <xf numFmtId="0" fontId="15" fillId="0" borderId="0" xfId="0" applyFont="1"/>
    <xf numFmtId="0" fontId="6" fillId="0" borderId="0" xfId="0" applyFont="1" applyAlignment="1">
      <alignment horizontal="center"/>
    </xf>
    <xf numFmtId="0" fontId="14" fillId="0" borderId="1" xfId="0" applyFont="1" applyBorder="1" applyAlignment="1">
      <alignment horizontal="center"/>
    </xf>
    <xf numFmtId="0" fontId="8" fillId="0" borderId="0" xfId="0" quotePrefix="1" applyFont="1" applyAlignment="1">
      <alignment horizontal="left"/>
    </xf>
    <xf numFmtId="164" fontId="11" fillId="0" borderId="0" xfId="0" applyNumberFormat="1" applyFont="1"/>
    <xf numFmtId="164" fontId="10" fillId="0" borderId="0" xfId="1" applyFont="1" applyBorder="1"/>
    <xf numFmtId="164" fontId="8" fillId="0" borderId="0" xfId="1" applyFont="1" applyBorder="1"/>
    <xf numFmtId="164" fontId="8" fillId="0" borderId="1" xfId="1" applyFont="1" applyBorder="1" applyAlignment="1">
      <alignment horizontal="center"/>
    </xf>
    <xf numFmtId="164" fontId="8" fillId="0" borderId="1" xfId="1" applyFont="1" applyBorder="1"/>
    <xf numFmtId="164" fontId="8" fillId="0" borderId="0" xfId="0" applyNumberFormat="1" applyFont="1"/>
    <xf numFmtId="164" fontId="13" fillId="0" borderId="2" xfId="1" applyFont="1" applyBorder="1"/>
    <xf numFmtId="164" fontId="11" fillId="0" borderId="3" xfId="1" applyFont="1" applyBorder="1"/>
    <xf numFmtId="164" fontId="8" fillId="0" borderId="3" xfId="1" applyFont="1" applyBorder="1"/>
    <xf numFmtId="164" fontId="11" fillId="0" borderId="0" xfId="1" applyFont="1" applyBorder="1"/>
    <xf numFmtId="0" fontId="7" fillId="0" borderId="0" xfId="0" quotePrefix="1" applyFont="1" applyAlignment="1">
      <alignment horizontal="center"/>
    </xf>
    <xf numFmtId="0" fontId="11" fillId="0" borderId="0" xfId="0" applyFont="1" applyAlignment="1">
      <alignment horizontal="center"/>
    </xf>
    <xf numFmtId="164" fontId="4" fillId="0" borderId="0" xfId="1" applyFont="1" applyBorder="1"/>
    <xf numFmtId="16" fontId="16" fillId="0" borderId="0" xfId="0" quotePrefix="1" applyNumberFormat="1" applyFont="1" applyAlignment="1">
      <alignment horizontal="center"/>
    </xf>
    <xf numFmtId="0" fontId="8" fillId="0" borderId="1" xfId="0" applyFont="1" applyBorder="1" applyAlignment="1">
      <alignment horizontal="left"/>
    </xf>
    <xf numFmtId="164" fontId="8" fillId="0" borderId="0" xfId="1" applyFont="1" applyBorder="1" applyAlignment="1">
      <alignment horizontal="center"/>
    </xf>
    <xf numFmtId="0" fontId="7" fillId="0" borderId="0" xfId="0" applyFont="1" applyAlignment="1">
      <alignment horizontal="center"/>
    </xf>
    <xf numFmtId="0" fontId="4" fillId="0" borderId="0" xfId="0" applyFont="1"/>
    <xf numFmtId="164" fontId="19" fillId="0" borderId="0" xfId="1" applyFont="1"/>
    <xf numFmtId="0" fontId="19" fillId="0" borderId="0" xfId="0" applyFont="1"/>
    <xf numFmtId="0" fontId="4" fillId="0" borderId="0" xfId="0" quotePrefix="1" applyFont="1" applyAlignment="1">
      <alignment horizontal="center"/>
    </xf>
    <xf numFmtId="0" fontId="20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164" fontId="8" fillId="0" borderId="0" xfId="1" applyFont="1" applyAlignment="1"/>
    <xf numFmtId="0" fontId="11" fillId="0" borderId="1" xfId="0" applyFont="1" applyBorder="1" applyAlignment="1">
      <alignment horizontal="center"/>
    </xf>
    <xf numFmtId="164" fontId="9" fillId="0" borderId="0" xfId="1" applyFont="1"/>
    <xf numFmtId="0" fontId="18" fillId="0" borderId="0" xfId="0" applyFont="1"/>
    <xf numFmtId="0" fontId="22" fillId="0" borderId="0" xfId="0" applyFont="1" applyAlignment="1">
      <alignment horizontal="left"/>
    </xf>
    <xf numFmtId="0" fontId="18" fillId="0" borderId="1" xfId="0" applyFont="1" applyBorder="1"/>
    <xf numFmtId="0" fontId="7" fillId="0" borderId="0" xfId="0" applyFont="1" applyAlignment="1">
      <alignment horizontal="left"/>
    </xf>
    <xf numFmtId="164" fontId="7" fillId="0" borderId="0" xfId="1" applyFont="1" applyBorder="1" applyAlignment="1">
      <alignment horizontal="center"/>
    </xf>
    <xf numFmtId="0" fontId="23" fillId="0" borderId="0" xfId="0" applyFont="1" applyAlignment="1">
      <alignment horizontal="center"/>
    </xf>
    <xf numFmtId="164" fontId="18" fillId="0" borderId="0" xfId="1" applyFont="1" applyBorder="1" applyAlignment="1">
      <alignment horizontal="left"/>
    </xf>
    <xf numFmtId="0" fontId="23" fillId="0" borderId="0" xfId="0" applyFont="1"/>
    <xf numFmtId="0" fontId="23" fillId="0" borderId="0" xfId="0" applyFont="1" applyAlignment="1">
      <alignment horizontal="left"/>
    </xf>
    <xf numFmtId="164" fontId="7" fillId="0" borderId="1" xfId="1" applyFont="1" applyBorder="1" applyAlignment="1">
      <alignment horizontal="center"/>
    </xf>
    <xf numFmtId="0" fontId="7" fillId="0" borderId="1" xfId="0" applyFont="1" applyBorder="1"/>
    <xf numFmtId="0" fontId="7" fillId="0" borderId="1" xfId="0" applyFont="1" applyBorder="1" applyAlignment="1">
      <alignment horizontal="center"/>
    </xf>
    <xf numFmtId="164" fontId="7" fillId="0" borderId="1" xfId="1" applyFont="1" applyBorder="1"/>
    <xf numFmtId="164" fontId="7" fillId="0" borderId="0" xfId="1" applyFont="1" applyBorder="1"/>
    <xf numFmtId="164" fontId="18" fillId="0" borderId="0" xfId="1" applyFont="1" applyBorder="1"/>
    <xf numFmtId="164" fontId="17" fillId="0" borderId="0" xfId="1" applyFont="1" applyBorder="1" applyAlignment="1">
      <alignment horizontal="center"/>
    </xf>
    <xf numFmtId="0" fontId="17" fillId="0" borderId="0" xfId="0" applyFont="1"/>
    <xf numFmtId="164" fontId="23" fillId="0" borderId="0" xfId="1" applyFont="1" applyBorder="1" applyAlignment="1"/>
    <xf numFmtId="164" fontId="7" fillId="0" borderId="0" xfId="1" applyFont="1"/>
    <xf numFmtId="164" fontId="18" fillId="0" borderId="0" xfId="1" applyFont="1"/>
    <xf numFmtId="164" fontId="24" fillId="0" borderId="0" xfId="1" applyFont="1" applyBorder="1" applyAlignment="1">
      <alignment horizontal="center"/>
    </xf>
    <xf numFmtId="164" fontId="14" fillId="0" borderId="0" xfId="1" applyFont="1" applyBorder="1" applyAlignment="1">
      <alignment horizontal="center"/>
    </xf>
    <xf numFmtId="16" fontId="0" fillId="0" borderId="0" xfId="0" applyNumberFormat="1"/>
    <xf numFmtId="164" fontId="8" fillId="0" borderId="4" xfId="1" applyFont="1" applyBorder="1"/>
    <xf numFmtId="0" fontId="4" fillId="0" borderId="0" xfId="0" applyFont="1" applyAlignment="1">
      <alignment horizontal="center"/>
    </xf>
    <xf numFmtId="164" fontId="10" fillId="0" borderId="1" xfId="0" applyNumberFormat="1" applyFont="1" applyBorder="1"/>
    <xf numFmtId="164" fontId="25" fillId="0" borderId="0" xfId="1" applyFont="1" applyBorder="1" applyAlignment="1">
      <alignment horizontal="left"/>
    </xf>
    <xf numFmtId="164" fontId="26" fillId="0" borderId="0" xfId="1" applyFont="1" applyBorder="1" applyAlignment="1">
      <alignment horizontal="left"/>
    </xf>
    <xf numFmtId="14" fontId="11" fillId="0" borderId="0" xfId="0" quotePrefix="1" applyNumberFormat="1" applyFont="1" applyAlignment="1">
      <alignment horizontal="center"/>
    </xf>
    <xf numFmtId="164" fontId="8" fillId="0" borderId="0" xfId="1" quotePrefix="1" applyFont="1" applyAlignment="1">
      <alignment horizontal="center"/>
    </xf>
    <xf numFmtId="164" fontId="8" fillId="0" borderId="1" xfId="1" applyFont="1" applyBorder="1" applyAlignment="1">
      <alignment horizontal="left"/>
    </xf>
    <xf numFmtId="164" fontId="11" fillId="0" borderId="1" xfId="1" applyFont="1" applyBorder="1"/>
    <xf numFmtId="164" fontId="8" fillId="0" borderId="0" xfId="1" applyFont="1" applyBorder="1" applyAlignment="1">
      <alignment horizontal="left"/>
    </xf>
    <xf numFmtId="164" fontId="17" fillId="0" borderId="0" xfId="1" applyFont="1" applyBorder="1"/>
    <xf numFmtId="164" fontId="2" fillId="0" borderId="0" xfId="1" applyFont="1"/>
    <xf numFmtId="164" fontId="23" fillId="0" borderId="0" xfId="1" applyFont="1" applyBorder="1" applyAlignment="1">
      <alignment horizontal="left"/>
    </xf>
    <xf numFmtId="164" fontId="27" fillId="0" borderId="0" xfId="1" applyFont="1"/>
    <xf numFmtId="164" fontId="18" fillId="0" borderId="0" xfId="1" quotePrefix="1" applyFont="1" applyBorder="1" applyAlignment="1"/>
    <xf numFmtId="164" fontId="19" fillId="0" borderId="0" xfId="0" applyNumberFormat="1" applyFont="1"/>
    <xf numFmtId="164" fontId="11" fillId="0" borderId="4" xfId="1" applyFont="1" applyBorder="1"/>
    <xf numFmtId="164" fontId="1" fillId="0" borderId="0" xfId="1" applyFont="1"/>
    <xf numFmtId="0" fontId="1" fillId="0" borderId="0" xfId="0" applyFont="1"/>
    <xf numFmtId="164" fontId="0" fillId="0" borderId="1" xfId="1" applyFont="1" applyBorder="1"/>
    <xf numFmtId="0" fontId="28" fillId="0" borderId="0" xfId="0" quotePrefix="1" applyFont="1" applyAlignment="1">
      <alignment horizontal="center"/>
    </xf>
    <xf numFmtId="0" fontId="0" fillId="0" borderId="10" xfId="0" applyBorder="1"/>
    <xf numFmtId="164" fontId="8" fillId="0" borderId="16" xfId="1" applyFont="1" applyBorder="1" applyAlignment="1">
      <alignment horizontal="center"/>
    </xf>
    <xf numFmtId="0" fontId="0" fillId="0" borderId="16" xfId="0" applyBorder="1"/>
    <xf numFmtId="0" fontId="29" fillId="0" borderId="0" xfId="0" applyFont="1"/>
    <xf numFmtId="17" fontId="30" fillId="0" borderId="0" xfId="0" applyNumberFormat="1" applyFont="1"/>
    <xf numFmtId="164" fontId="8" fillId="0" borderId="4" xfId="1" applyFont="1" applyBorder="1" applyAlignment="1">
      <alignment horizontal="center"/>
    </xf>
    <xf numFmtId="164" fontId="8" fillId="0" borderId="4" xfId="1" applyFont="1" applyBorder="1" applyAlignment="1">
      <alignment horizontal="left"/>
    </xf>
    <xf numFmtId="164" fontId="8" fillId="0" borderId="1" xfId="0" applyNumberFormat="1" applyFont="1" applyBorder="1"/>
    <xf numFmtId="14" fontId="8" fillId="0" borderId="4" xfId="0" quotePrefix="1" applyNumberFormat="1" applyFont="1" applyBorder="1" applyAlignment="1">
      <alignment horizontal="left"/>
    </xf>
    <xf numFmtId="14" fontId="8" fillId="0" borderId="0" xfId="0" quotePrefix="1" applyNumberFormat="1" applyFont="1" applyAlignment="1">
      <alignment horizontal="left"/>
    </xf>
    <xf numFmtId="0" fontId="11" fillId="0" borderId="1" xfId="0" applyFont="1" applyBorder="1"/>
    <xf numFmtId="0" fontId="8" fillId="0" borderId="0" xfId="0" quotePrefix="1" applyFont="1"/>
    <xf numFmtId="14" fontId="8" fillId="0" borderId="1" xfId="0" applyNumberFormat="1" applyFont="1" applyBorder="1"/>
    <xf numFmtId="0" fontId="8" fillId="0" borderId="4" xfId="0" quotePrefix="1" applyFont="1" applyBorder="1"/>
    <xf numFmtId="0" fontId="8" fillId="0" borderId="4" xfId="0" applyFont="1" applyBorder="1"/>
    <xf numFmtId="14" fontId="8" fillId="0" borderId="0" xfId="0" applyNumberFormat="1" applyFont="1" applyAlignment="1">
      <alignment horizontal="left"/>
    </xf>
    <xf numFmtId="0" fontId="11" fillId="0" borderId="19" xfId="0" applyFont="1" applyBorder="1"/>
    <xf numFmtId="0" fontId="11" fillId="0" borderId="20" xfId="0" applyFont="1" applyBorder="1"/>
    <xf numFmtId="164" fontId="11" fillId="0" borderId="21" xfId="1" applyFont="1" applyBorder="1"/>
    <xf numFmtId="0" fontId="8" fillId="0" borderId="22" xfId="0" applyFont="1" applyBorder="1" applyAlignment="1">
      <alignment horizontal="right"/>
    </xf>
    <xf numFmtId="0" fontId="11" fillId="0" borderId="23" xfId="0" applyFont="1" applyBorder="1"/>
    <xf numFmtId="164" fontId="8" fillId="0" borderId="4" xfId="0" applyNumberFormat="1" applyFont="1" applyBorder="1" applyAlignment="1">
      <alignment horizontal="center"/>
    </xf>
    <xf numFmtId="164" fontId="31" fillId="0" borderId="0" xfId="0" applyNumberFormat="1" applyFont="1"/>
    <xf numFmtId="0" fontId="32" fillId="0" borderId="0" xfId="0" applyFont="1" applyAlignment="1">
      <alignment horizontal="center"/>
    </xf>
    <xf numFmtId="164" fontId="31" fillId="0" borderId="0" xfId="1" applyFont="1" applyAlignment="1">
      <alignment horizontal="center"/>
    </xf>
    <xf numFmtId="14" fontId="8" fillId="0" borderId="0" xfId="0" quotePrefix="1" applyNumberFormat="1" applyFont="1"/>
    <xf numFmtId="43" fontId="0" fillId="0" borderId="0" xfId="0" applyNumberFormat="1"/>
    <xf numFmtId="164" fontId="9" fillId="0" borderId="0" xfId="1" quotePrefix="1" applyFont="1" applyAlignment="1">
      <alignment horizontal="center"/>
    </xf>
    <xf numFmtId="0" fontId="8" fillId="0" borderId="6" xfId="0" quotePrefix="1" applyFont="1" applyBorder="1" applyAlignment="1">
      <alignment horizontal="center"/>
    </xf>
    <xf numFmtId="0" fontId="8" fillId="0" borderId="25" xfId="0" quotePrefix="1" applyFont="1" applyBorder="1" applyAlignment="1">
      <alignment horizontal="center"/>
    </xf>
    <xf numFmtId="0" fontId="9" fillId="0" borderId="4" xfId="0" applyFont="1" applyBorder="1"/>
    <xf numFmtId="0" fontId="8" fillId="0" borderId="24" xfId="0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164" fontId="8" fillId="0" borderId="4" xfId="1" applyFont="1" applyFill="1" applyBorder="1" applyAlignment="1">
      <alignment horizontal="center"/>
    </xf>
    <xf numFmtId="164" fontId="8" fillId="0" borderId="0" xfId="1" applyFont="1" applyFill="1" applyAlignment="1">
      <alignment horizontal="center"/>
    </xf>
    <xf numFmtId="0" fontId="8" fillId="2" borderId="12" xfId="0" applyFont="1" applyFill="1" applyBorder="1" applyAlignment="1">
      <alignment horizontal="center" wrapText="1"/>
    </xf>
    <xf numFmtId="0" fontId="8" fillId="2" borderId="6" xfId="0" applyFont="1" applyFill="1" applyBorder="1" applyAlignment="1">
      <alignment vertical="center"/>
    </xf>
    <xf numFmtId="0" fontId="8" fillId="2" borderId="7" xfId="0" applyFont="1" applyFill="1" applyBorder="1" applyAlignment="1">
      <alignment vertical="center"/>
    </xf>
    <xf numFmtId="0" fontId="8" fillId="2" borderId="17" xfId="0" applyFont="1" applyFill="1" applyBorder="1" applyAlignment="1">
      <alignment vertical="center"/>
    </xf>
    <xf numFmtId="0" fontId="8" fillId="2" borderId="11" xfId="0" applyFont="1" applyFill="1" applyBorder="1" applyAlignment="1">
      <alignment horizontal="center" vertical="center"/>
    </xf>
    <xf numFmtId="0" fontId="8" fillId="2" borderId="12" xfId="0" applyFont="1" applyFill="1" applyBorder="1" applyAlignment="1">
      <alignment horizontal="center" vertical="center"/>
    </xf>
    <xf numFmtId="0" fontId="8" fillId="2" borderId="18" xfId="0" applyFont="1" applyFill="1" applyBorder="1" applyAlignment="1">
      <alignment horizontal="center" vertical="center"/>
    </xf>
    <xf numFmtId="0" fontId="8" fillId="0" borderId="28" xfId="0" quotePrefix="1" applyFont="1" applyBorder="1" applyAlignment="1">
      <alignment horizontal="center"/>
    </xf>
    <xf numFmtId="0" fontId="36" fillId="0" borderId="4" xfId="0" applyFont="1" applyBorder="1" applyAlignment="1">
      <alignment horizontal="left"/>
    </xf>
    <xf numFmtId="0" fontId="8" fillId="0" borderId="4" xfId="0" quotePrefix="1" applyFont="1" applyBorder="1" applyAlignment="1">
      <alignment horizontal="center"/>
    </xf>
    <xf numFmtId="0" fontId="38" fillId="0" borderId="9" xfId="0" applyFont="1" applyBorder="1" applyAlignment="1">
      <alignment horizontal="center"/>
    </xf>
    <xf numFmtId="0" fontId="8" fillId="0" borderId="17" xfId="0" applyFont="1" applyBorder="1" applyAlignment="1">
      <alignment horizontal="center"/>
    </xf>
    <xf numFmtId="0" fontId="8" fillId="2" borderId="13" xfId="0" applyFont="1" applyFill="1" applyBorder="1" applyAlignment="1">
      <alignment horizontal="center" vertical="center" wrapText="1"/>
    </xf>
    <xf numFmtId="0" fontId="8" fillId="0" borderId="16" xfId="0" applyFont="1" applyBorder="1" applyAlignment="1">
      <alignment horizontal="center"/>
    </xf>
    <xf numFmtId="164" fontId="8" fillId="0" borderId="24" xfId="1" applyFont="1" applyBorder="1" applyAlignment="1">
      <alignment horizontal="center"/>
    </xf>
    <xf numFmtId="164" fontId="8" fillId="0" borderId="24" xfId="1" applyFont="1" applyBorder="1" applyAlignment="1">
      <alignment horizontal="left"/>
    </xf>
    <xf numFmtId="164" fontId="11" fillId="0" borderId="24" xfId="0" applyNumberFormat="1" applyFont="1" applyBorder="1" applyAlignment="1">
      <alignment horizontal="center"/>
    </xf>
    <xf numFmtId="164" fontId="11" fillId="0" borderId="24" xfId="1" applyFont="1" applyBorder="1" applyAlignment="1">
      <alignment horizontal="left"/>
    </xf>
    <xf numFmtId="43" fontId="8" fillId="0" borderId="24" xfId="0" applyNumberFormat="1" applyFont="1" applyBorder="1" applyAlignment="1">
      <alignment horizontal="center"/>
    </xf>
    <xf numFmtId="0" fontId="8" fillId="0" borderId="24" xfId="0" applyFont="1" applyBorder="1"/>
    <xf numFmtId="164" fontId="8" fillId="0" borderId="24" xfId="1" applyFont="1" applyBorder="1"/>
    <xf numFmtId="164" fontId="10" fillId="0" borderId="24" xfId="1" applyFont="1" applyFill="1" applyBorder="1"/>
    <xf numFmtId="164" fontId="11" fillId="0" borderId="24" xfId="1" applyFont="1" applyBorder="1"/>
    <xf numFmtId="164" fontId="11" fillId="0" borderId="24" xfId="1" applyFont="1" applyFill="1" applyBorder="1"/>
    <xf numFmtId="0" fontId="8" fillId="2" borderId="8" xfId="0" applyFont="1" applyFill="1" applyBorder="1" applyAlignment="1">
      <alignment vertical="center"/>
    </xf>
    <xf numFmtId="0" fontId="8" fillId="2" borderId="13" xfId="0" applyFont="1" applyFill="1" applyBorder="1" applyAlignment="1">
      <alignment horizontal="center" vertical="center"/>
    </xf>
    <xf numFmtId="0" fontId="8" fillId="0" borderId="10" xfId="0" applyFont="1" applyBorder="1" applyAlignment="1">
      <alignment horizontal="left"/>
    </xf>
    <xf numFmtId="0" fontId="10" fillId="0" borderId="26" xfId="0" applyFont="1" applyBorder="1"/>
    <xf numFmtId="0" fontId="8" fillId="0" borderId="26" xfId="0" applyFont="1" applyBorder="1" applyAlignment="1">
      <alignment horizontal="left"/>
    </xf>
    <xf numFmtId="0" fontId="7" fillId="0" borderId="26" xfId="0" applyFont="1" applyBorder="1" applyAlignment="1">
      <alignment horizontal="left"/>
    </xf>
    <xf numFmtId="0" fontId="8" fillId="0" borderId="26" xfId="0" applyFont="1" applyBorder="1"/>
    <xf numFmtId="0" fontId="8" fillId="0" borderId="33" xfId="0" quotePrefix="1" applyFont="1" applyBorder="1" applyAlignment="1">
      <alignment horizontal="center"/>
    </xf>
    <xf numFmtId="0" fontId="8" fillId="0" borderId="20" xfId="0" applyFont="1" applyBorder="1"/>
    <xf numFmtId="0" fontId="8" fillId="0" borderId="34" xfId="0" applyFont="1" applyBorder="1" applyAlignment="1">
      <alignment horizontal="center"/>
    </xf>
    <xf numFmtId="164" fontId="8" fillId="0" borderId="7" xfId="1" applyFont="1" applyBorder="1" applyAlignment="1">
      <alignment horizontal="center"/>
    </xf>
    <xf numFmtId="164" fontId="36" fillId="0" borderId="4" xfId="1" applyFont="1" applyFill="1" applyBorder="1" applyAlignment="1">
      <alignment horizontal="center"/>
    </xf>
    <xf numFmtId="164" fontId="10" fillId="0" borderId="4" xfId="1" applyFont="1" applyFill="1" applyBorder="1"/>
    <xf numFmtId="164" fontId="10" fillId="0" borderId="25" xfId="1" applyFont="1" applyFill="1" applyBorder="1"/>
    <xf numFmtId="164" fontId="35" fillId="0" borderId="25" xfId="1" applyFont="1" applyFill="1" applyBorder="1"/>
    <xf numFmtId="0" fontId="8" fillId="0" borderId="6" xfId="0" applyFont="1" applyBorder="1" applyAlignment="1">
      <alignment horizontal="center"/>
    </xf>
    <xf numFmtId="0" fontId="8" fillId="0" borderId="25" xfId="0" applyFont="1" applyBorder="1" applyAlignment="1">
      <alignment horizontal="center"/>
    </xf>
    <xf numFmtId="164" fontId="8" fillId="0" borderId="25" xfId="1" applyFont="1" applyFill="1" applyBorder="1" applyAlignment="1">
      <alignment horizontal="center"/>
    </xf>
    <xf numFmtId="0" fontId="0" fillId="0" borderId="17" xfId="0" applyBorder="1"/>
    <xf numFmtId="0" fontId="38" fillId="0" borderId="33" xfId="0" applyFont="1" applyBorder="1" applyAlignment="1">
      <alignment horizontal="center"/>
    </xf>
    <xf numFmtId="0" fontId="0" fillId="0" borderId="20" xfId="0" applyBorder="1"/>
    <xf numFmtId="0" fontId="0" fillId="0" borderId="34" xfId="0" applyBorder="1"/>
    <xf numFmtId="164" fontId="11" fillId="0" borderId="34" xfId="1" applyFont="1" applyBorder="1"/>
    <xf numFmtId="43" fontId="8" fillId="0" borderId="34" xfId="0" applyNumberFormat="1" applyFont="1" applyBorder="1" applyAlignment="1">
      <alignment horizontal="center"/>
    </xf>
    <xf numFmtId="164" fontId="10" fillId="0" borderId="33" xfId="1" applyFont="1" applyFill="1" applyBorder="1"/>
    <xf numFmtId="164" fontId="10" fillId="0" borderId="34" xfId="1" applyFont="1" applyFill="1" applyBorder="1"/>
    <xf numFmtId="0" fontId="11" fillId="2" borderId="14" xfId="0" quotePrefix="1" applyFont="1" applyFill="1" applyBorder="1" applyAlignment="1">
      <alignment horizontal="center"/>
    </xf>
    <xf numFmtId="0" fontId="8" fillId="2" borderId="15" xfId="0" applyFont="1" applyFill="1" applyBorder="1"/>
    <xf numFmtId="0" fontId="8" fillId="2" borderId="5" xfId="0" applyFont="1" applyFill="1" applyBorder="1" applyAlignment="1">
      <alignment horizontal="center"/>
    </xf>
    <xf numFmtId="0" fontId="8" fillId="2" borderId="15" xfId="0" applyFont="1" applyFill="1" applyBorder="1" applyAlignment="1">
      <alignment horizontal="center"/>
    </xf>
    <xf numFmtId="43" fontId="11" fillId="0" borderId="24" xfId="0" applyNumberFormat="1" applyFont="1" applyBorder="1"/>
    <xf numFmtId="0" fontId="11" fillId="0" borderId="24" xfId="0" applyFont="1" applyBorder="1"/>
    <xf numFmtId="164" fontId="39" fillId="2" borderId="5" xfId="1" applyFont="1" applyFill="1" applyBorder="1"/>
    <xf numFmtId="164" fontId="8" fillId="0" borderId="0" xfId="1" applyFont="1" applyFill="1" applyBorder="1"/>
    <xf numFmtId="164" fontId="8" fillId="0" borderId="0" xfId="1" applyFont="1" applyFill="1" applyBorder="1" applyAlignment="1">
      <alignment horizontal="left"/>
    </xf>
    <xf numFmtId="164" fontId="11" fillId="0" borderId="0" xfId="1" applyFont="1" applyFill="1" applyBorder="1" applyAlignment="1">
      <alignment horizontal="left"/>
    </xf>
    <xf numFmtId="0" fontId="8" fillId="0" borderId="27" xfId="0" quotePrefix="1" applyFont="1" applyBorder="1" applyAlignment="1">
      <alignment horizontal="center"/>
    </xf>
    <xf numFmtId="0" fontId="8" fillId="0" borderId="32" xfId="0" quotePrefix="1" applyFont="1" applyBorder="1" applyAlignment="1">
      <alignment horizontal="center"/>
    </xf>
    <xf numFmtId="164" fontId="8" fillId="0" borderId="31" xfId="1" applyFont="1" applyBorder="1"/>
    <xf numFmtId="0" fontId="8" fillId="0" borderId="29" xfId="0" quotePrefix="1" applyFont="1" applyBorder="1" applyAlignment="1">
      <alignment horizontal="center"/>
    </xf>
    <xf numFmtId="164" fontId="8" fillId="0" borderId="30" xfId="1" applyFont="1" applyBorder="1"/>
    <xf numFmtId="0" fontId="11" fillId="3" borderId="17" xfId="0" applyFont="1" applyFill="1" applyBorder="1" applyAlignment="1">
      <alignment horizontal="center" vertical="center"/>
    </xf>
    <xf numFmtId="0" fontId="9" fillId="3" borderId="9" xfId="0" applyFont="1" applyFill="1" applyBorder="1" applyAlignment="1">
      <alignment horizontal="center"/>
    </xf>
    <xf numFmtId="0" fontId="8" fillId="3" borderId="0" xfId="0" applyFont="1" applyFill="1"/>
    <xf numFmtId="0" fontId="8" fillId="3" borderId="0" xfId="0" quotePrefix="1" applyFont="1" applyFill="1" applyAlignment="1">
      <alignment horizontal="center"/>
    </xf>
    <xf numFmtId="0" fontId="8" fillId="3" borderId="16" xfId="0" applyFont="1" applyFill="1" applyBorder="1"/>
    <xf numFmtId="0" fontId="8" fillId="3" borderId="12" xfId="0" applyFont="1" applyFill="1" applyBorder="1"/>
    <xf numFmtId="164" fontId="39" fillId="3" borderId="18" xfId="0" applyNumberFormat="1" applyFont="1" applyFill="1" applyBorder="1"/>
    <xf numFmtId="164" fontId="8" fillId="0" borderId="0" xfId="1" applyFont="1" applyFill="1" applyBorder="1" applyAlignment="1">
      <alignment horizontal="center"/>
    </xf>
    <xf numFmtId="164" fontId="8" fillId="0" borderId="0" xfId="1" applyFont="1" applyFill="1"/>
    <xf numFmtId="164" fontId="11" fillId="0" borderId="0" xfId="1" applyFont="1" applyFill="1" applyBorder="1" applyAlignment="1">
      <alignment horizontal="center"/>
    </xf>
    <xf numFmtId="164" fontId="40" fillId="0" borderId="0" xfId="1" applyFont="1" applyFill="1" applyBorder="1"/>
    <xf numFmtId="0" fontId="40" fillId="0" borderId="0" xfId="0" applyFont="1"/>
    <xf numFmtId="0" fontId="30" fillId="0" borderId="0" xfId="0" applyFont="1"/>
    <xf numFmtId="164" fontId="30" fillId="0" borderId="0" xfId="1" applyFont="1" applyFill="1" applyBorder="1" applyAlignment="1">
      <alignment horizontal="center"/>
    </xf>
    <xf numFmtId="164" fontId="30" fillId="0" borderId="0" xfId="1" applyFont="1" applyFill="1" applyBorder="1" applyAlignment="1">
      <alignment horizontal="left"/>
    </xf>
    <xf numFmtId="164" fontId="30" fillId="0" borderId="0" xfId="0" applyNumberFormat="1" applyFont="1" applyAlignment="1">
      <alignment horizontal="center"/>
    </xf>
    <xf numFmtId="164" fontId="30" fillId="0" borderId="0" xfId="0" applyNumberFormat="1" applyFont="1"/>
    <xf numFmtId="0" fontId="30" fillId="0" borderId="0" xfId="0" applyFont="1" applyAlignment="1">
      <alignment horizontal="center"/>
    </xf>
    <xf numFmtId="14" fontId="30" fillId="0" borderId="0" xfId="0" quotePrefix="1" applyNumberFormat="1" applyFont="1" applyAlignment="1">
      <alignment horizontal="left"/>
    </xf>
    <xf numFmtId="14" fontId="30" fillId="0" borderId="0" xfId="0" applyNumberFormat="1" applyFont="1"/>
    <xf numFmtId="0" fontId="30" fillId="0" borderId="0" xfId="0" quotePrefix="1" applyFont="1"/>
    <xf numFmtId="164" fontId="30" fillId="0" borderId="0" xfId="1" applyFont="1" applyFill="1" applyBorder="1"/>
    <xf numFmtId="164" fontId="40" fillId="0" borderId="0" xfId="0" applyNumberFormat="1" applyFont="1"/>
    <xf numFmtId="164" fontId="40" fillId="0" borderId="3" xfId="1" applyFont="1" applyFill="1" applyBorder="1"/>
    <xf numFmtId="0" fontId="40" fillId="0" borderId="4" xfId="0" applyFont="1" applyBorder="1"/>
    <xf numFmtId="0" fontId="45" fillId="0" borderId="0" xfId="0" applyFont="1" applyAlignment="1">
      <alignment horizontal="center"/>
    </xf>
    <xf numFmtId="0" fontId="45" fillId="0" borderId="0" xfId="0" applyFont="1"/>
    <xf numFmtId="0" fontId="29" fillId="0" borderId="0" xfId="0" applyFont="1" applyAlignment="1">
      <alignment horizontal="center"/>
    </xf>
    <xf numFmtId="0" fontId="45" fillId="0" borderId="0" xfId="0" applyFont="1" applyAlignment="1">
      <alignment horizontal="left"/>
    </xf>
    <xf numFmtId="0" fontId="40" fillId="0" borderId="0" xfId="0" applyFont="1" applyAlignment="1">
      <alignment horizontal="center"/>
    </xf>
    <xf numFmtId="0" fontId="41" fillId="0" borderId="0" xfId="0" applyFont="1" applyAlignment="1">
      <alignment horizontal="center"/>
    </xf>
    <xf numFmtId="0" fontId="42" fillId="0" borderId="0" xfId="0" quotePrefix="1" applyFont="1" applyAlignment="1">
      <alignment horizontal="center"/>
    </xf>
    <xf numFmtId="164" fontId="43" fillId="0" borderId="0" xfId="1" quotePrefix="1" applyFont="1" applyFill="1" applyBorder="1" applyAlignment="1">
      <alignment horizontal="center"/>
    </xf>
    <xf numFmtId="14" fontId="30" fillId="0" borderId="0" xfId="0" quotePrefix="1" applyNumberFormat="1" applyFont="1"/>
    <xf numFmtId="0" fontId="30" fillId="0" borderId="0" xfId="0" applyFont="1" applyAlignment="1">
      <alignment horizontal="left"/>
    </xf>
    <xf numFmtId="164" fontId="44" fillId="0" borderId="0" xfId="0" applyNumberFormat="1" applyFont="1"/>
    <xf numFmtId="0" fontId="46" fillId="0" borderId="0" xfId="0" applyFont="1"/>
    <xf numFmtId="0" fontId="47" fillId="0" borderId="0" xfId="0" applyFont="1"/>
    <xf numFmtId="0" fontId="46" fillId="0" borderId="0" xfId="0" applyFont="1" applyAlignment="1">
      <alignment horizontal="center"/>
    </xf>
    <xf numFmtId="164" fontId="40" fillId="0" borderId="0" xfId="1" applyFont="1" applyFill="1" applyBorder="1" applyAlignment="1">
      <alignment horizontal="center"/>
    </xf>
    <xf numFmtId="164" fontId="8" fillId="0" borderId="4" xfId="1" applyFont="1" applyFill="1" applyBorder="1"/>
    <xf numFmtId="164" fontId="31" fillId="0" borderId="0" xfId="1" applyFont="1" applyFill="1" applyAlignment="1">
      <alignment horizontal="center"/>
    </xf>
    <xf numFmtId="0" fontId="0" fillId="0" borderId="6" xfId="0" applyBorder="1"/>
    <xf numFmtId="0" fontId="30" fillId="0" borderId="7" xfId="0" applyFont="1" applyBorder="1"/>
    <xf numFmtId="0" fontId="8" fillId="0" borderId="8" xfId="0" applyFont="1" applyBorder="1"/>
    <xf numFmtId="0" fontId="0" fillId="0" borderId="9" xfId="0" applyBorder="1"/>
    <xf numFmtId="0" fontId="8" fillId="0" borderId="10" xfId="0" applyFont="1" applyBorder="1"/>
    <xf numFmtId="0" fontId="0" fillId="0" borderId="25" xfId="0" applyBorder="1"/>
    <xf numFmtId="0" fontId="0" fillId="0" borderId="11" xfId="0" applyBorder="1"/>
    <xf numFmtId="0" fontId="40" fillId="4" borderId="12" xfId="0" applyFont="1" applyFill="1" applyBorder="1"/>
    <xf numFmtId="0" fontId="8" fillId="0" borderId="13" xfId="0" applyFont="1" applyBorder="1"/>
    <xf numFmtId="0" fontId="40" fillId="4" borderId="7" xfId="0" applyFont="1" applyFill="1" applyBorder="1"/>
    <xf numFmtId="164" fontId="39" fillId="0" borderId="4" xfId="1" applyFont="1" applyFill="1" applyBorder="1"/>
    <xf numFmtId="164" fontId="39" fillId="0" borderId="0" xfId="1" applyFont="1" applyFill="1" applyBorder="1"/>
    <xf numFmtId="164" fontId="48" fillId="0" borderId="0" xfId="1" applyFont="1" applyFill="1" applyBorder="1"/>
    <xf numFmtId="164" fontId="48" fillId="0" borderId="0" xfId="0" applyNumberFormat="1" applyFont="1"/>
    <xf numFmtId="164" fontId="44" fillId="0" borderId="0" xfId="1" applyFont="1" applyFill="1" applyBorder="1" applyAlignment="1">
      <alignment horizontal="left"/>
    </xf>
    <xf numFmtId="164" fontId="44" fillId="0" borderId="0" xfId="1" applyFont="1" applyFill="1" applyBorder="1" applyAlignment="1">
      <alignment horizontal="center"/>
    </xf>
    <xf numFmtId="0" fontId="37" fillId="0" borderId="0" xfId="0" applyFont="1"/>
    <xf numFmtId="164" fontId="11" fillId="0" borderId="34" xfId="1" applyFont="1" applyFill="1" applyBorder="1"/>
    <xf numFmtId="43" fontId="11" fillId="0" borderId="34" xfId="0" applyNumberFormat="1" applyFont="1" applyBorder="1"/>
    <xf numFmtId="164" fontId="3" fillId="0" borderId="0" xfId="0" applyNumberFormat="1" applyFont="1"/>
    <xf numFmtId="164" fontId="44" fillId="0" borderId="0" xfId="1" applyFont="1" applyFill="1" applyBorder="1"/>
    <xf numFmtId="0" fontId="38" fillId="0" borderId="0" xfId="0" applyFont="1"/>
    <xf numFmtId="164" fontId="49" fillId="0" borderId="0" xfId="0" applyNumberFormat="1" applyFont="1"/>
    <xf numFmtId="164" fontId="50" fillId="0" borderId="0" xfId="1" applyFont="1" applyFill="1" applyBorder="1"/>
    <xf numFmtId="164" fontId="8" fillId="0" borderId="24" xfId="1" applyFont="1" applyFill="1" applyBorder="1" applyAlignment="1">
      <alignment horizontal="center"/>
    </xf>
    <xf numFmtId="0" fontId="51" fillId="0" borderId="27" xfId="0" quotePrefix="1" applyFont="1" applyBorder="1" applyAlignment="1">
      <alignment horizontal="center"/>
    </xf>
    <xf numFmtId="0" fontId="51" fillId="0" borderId="32" xfId="0" quotePrefix="1" applyFont="1" applyBorder="1" applyAlignment="1">
      <alignment horizontal="center"/>
    </xf>
    <xf numFmtId="164" fontId="51" fillId="0" borderId="31" xfId="1" applyFont="1" applyBorder="1"/>
    <xf numFmtId="0" fontId="51" fillId="0" borderId="25" xfId="0" quotePrefix="1" applyFont="1" applyBorder="1" applyAlignment="1">
      <alignment horizontal="center"/>
    </xf>
    <xf numFmtId="0" fontId="51" fillId="0" borderId="4" xfId="0" quotePrefix="1" applyFont="1" applyBorder="1" applyAlignment="1">
      <alignment horizontal="center"/>
    </xf>
    <xf numFmtId="164" fontId="51" fillId="0" borderId="24" xfId="1" applyFont="1" applyBorder="1" applyAlignment="1">
      <alignment horizontal="left"/>
    </xf>
    <xf numFmtId="164" fontId="51" fillId="0" borderId="24" xfId="1" applyFont="1" applyBorder="1"/>
    <xf numFmtId="0" fontId="51" fillId="0" borderId="29" xfId="0" quotePrefix="1" applyFont="1" applyBorder="1" applyAlignment="1">
      <alignment horizontal="center"/>
    </xf>
    <xf numFmtId="164" fontId="51" fillId="0" borderId="30" xfId="1" applyFont="1" applyBorder="1"/>
    <xf numFmtId="0" fontId="51" fillId="0" borderId="28" xfId="0" quotePrefix="1" applyFont="1" applyBorder="1" applyAlignment="1">
      <alignment horizontal="center"/>
    </xf>
    <xf numFmtId="14" fontId="30" fillId="0" borderId="0" xfId="0" applyNumberFormat="1" applyFont="1" applyAlignment="1">
      <alignment vertical="center"/>
    </xf>
    <xf numFmtId="0" fontId="30" fillId="0" borderId="0" xfId="0" applyFont="1" applyAlignment="1">
      <alignment vertical="center"/>
    </xf>
    <xf numFmtId="164" fontId="44" fillId="0" borderId="0" xfId="0" applyNumberFormat="1" applyFont="1" applyAlignment="1">
      <alignment horizontal="center" vertical="center"/>
    </xf>
    <xf numFmtId="164" fontId="11" fillId="0" borderId="24" xfId="1" applyFont="1" applyBorder="1" applyAlignment="1">
      <alignment horizontal="center"/>
    </xf>
    <xf numFmtId="0" fontId="52" fillId="5" borderId="26" xfId="0" applyFont="1" applyFill="1" applyBorder="1" applyAlignment="1">
      <alignment horizontal="left"/>
    </xf>
    <xf numFmtId="164" fontId="8" fillId="5" borderId="24" xfId="1" applyFont="1" applyFill="1" applyBorder="1" applyAlignment="1">
      <alignment horizontal="center"/>
    </xf>
    <xf numFmtId="165" fontId="30" fillId="0" borderId="0" xfId="0" quotePrefix="1" applyNumberFormat="1" applyFont="1" applyAlignment="1">
      <alignment horizontal="left"/>
    </xf>
    <xf numFmtId="164" fontId="53" fillId="0" borderId="0" xfId="0" applyNumberFormat="1" applyFont="1" applyAlignment="1">
      <alignment horizontal="center" vertical="center"/>
    </xf>
    <xf numFmtId="164" fontId="54" fillId="0" borderId="0" xfId="1" applyFont="1" applyFill="1" applyBorder="1"/>
    <xf numFmtId="43" fontId="10" fillId="0" borderId="0" xfId="0" applyNumberFormat="1" applyFont="1"/>
    <xf numFmtId="164" fontId="30" fillId="0" borderId="0" xfId="0" applyNumberFormat="1" applyFont="1" applyAlignment="1">
      <alignment horizontal="center" vertical="center"/>
    </xf>
    <xf numFmtId="0" fontId="40" fillId="0" borderId="0" xfId="0" applyFont="1" applyAlignment="1">
      <alignment horizontal="left"/>
    </xf>
    <xf numFmtId="0" fontId="4" fillId="0" borderId="10" xfId="0" applyFont="1" applyBorder="1"/>
    <xf numFmtId="164" fontId="55" fillId="0" borderId="0" xfId="1" applyFont="1" applyFill="1" applyBorder="1"/>
    <xf numFmtId="164" fontId="40" fillId="0" borderId="1" xfId="1" applyFont="1" applyBorder="1"/>
    <xf numFmtId="164" fontId="48" fillId="0" borderId="0" xfId="1" applyFont="1" applyFill="1" applyBorder="1" applyAlignment="1">
      <alignment horizontal="center"/>
    </xf>
    <xf numFmtId="0" fontId="30" fillId="0" borderId="4" xfId="0" applyFont="1" applyBorder="1"/>
    <xf numFmtId="164" fontId="30" fillId="0" borderId="4" xfId="1" applyFont="1" applyFill="1" applyBorder="1"/>
    <xf numFmtId="164" fontId="56" fillId="0" borderId="0" xfId="1" applyFont="1"/>
    <xf numFmtId="0" fontId="36" fillId="6" borderId="26" xfId="0" applyFont="1" applyFill="1" applyBorder="1" applyAlignment="1">
      <alignment horizontal="left"/>
    </xf>
    <xf numFmtId="164" fontId="11" fillId="0" borderId="24" xfId="1" applyFont="1" applyFill="1" applyBorder="1" applyAlignment="1">
      <alignment horizontal="left"/>
    </xf>
    <xf numFmtId="164" fontId="40" fillId="0" borderId="4" xfId="1" applyFont="1" applyBorder="1"/>
    <xf numFmtId="0" fontId="8" fillId="7" borderId="6" xfId="0" applyFont="1" applyFill="1" applyBorder="1" applyAlignment="1">
      <alignment vertical="center"/>
    </xf>
    <xf numFmtId="0" fontId="8" fillId="7" borderId="7" xfId="0" applyFont="1" applyFill="1" applyBorder="1" applyAlignment="1">
      <alignment vertical="center"/>
    </xf>
    <xf numFmtId="0" fontId="8" fillId="7" borderId="17" xfId="0" applyFont="1" applyFill="1" applyBorder="1" applyAlignment="1">
      <alignment vertical="center"/>
    </xf>
    <xf numFmtId="0" fontId="8" fillId="7" borderId="8" xfId="0" applyFont="1" applyFill="1" applyBorder="1" applyAlignment="1">
      <alignment vertical="center"/>
    </xf>
    <xf numFmtId="0" fontId="8" fillId="7" borderId="11" xfId="0" applyFont="1" applyFill="1" applyBorder="1" applyAlignment="1">
      <alignment horizontal="center" vertical="center"/>
    </xf>
    <xf numFmtId="0" fontId="8" fillId="7" borderId="12" xfId="0" applyFont="1" applyFill="1" applyBorder="1" applyAlignment="1">
      <alignment horizontal="center" vertical="center"/>
    </xf>
    <xf numFmtId="0" fontId="8" fillId="7" borderId="18" xfId="0" applyFont="1" applyFill="1" applyBorder="1" applyAlignment="1">
      <alignment horizontal="center" vertical="center"/>
    </xf>
    <xf numFmtId="0" fontId="8" fillId="7" borderId="13" xfId="0" applyFont="1" applyFill="1" applyBorder="1" applyAlignment="1">
      <alignment horizontal="center" vertical="center"/>
    </xf>
    <xf numFmtId="0" fontId="8" fillId="7" borderId="13" xfId="0" applyFont="1" applyFill="1" applyBorder="1" applyAlignment="1">
      <alignment horizontal="center" vertical="center" wrapText="1"/>
    </xf>
    <xf numFmtId="0" fontId="8" fillId="7" borderId="12" xfId="0" applyFont="1" applyFill="1" applyBorder="1" applyAlignment="1">
      <alignment horizontal="center" wrapText="1"/>
    </xf>
    <xf numFmtId="0" fontId="11" fillId="7" borderId="14" xfId="0" quotePrefix="1" applyFont="1" applyFill="1" applyBorder="1" applyAlignment="1">
      <alignment horizontal="center"/>
    </xf>
    <xf numFmtId="0" fontId="8" fillId="7" borderId="15" xfId="0" applyFont="1" applyFill="1" applyBorder="1"/>
    <xf numFmtId="0" fontId="8" fillId="7" borderId="5" xfId="0" applyFont="1" applyFill="1" applyBorder="1" applyAlignment="1">
      <alignment horizontal="center"/>
    </xf>
    <xf numFmtId="0" fontId="8" fillId="7" borderId="15" xfId="0" applyFont="1" applyFill="1" applyBorder="1" applyAlignment="1">
      <alignment horizontal="center"/>
    </xf>
    <xf numFmtId="164" fontId="39" fillId="7" borderId="5" xfId="1" applyFont="1" applyFill="1" applyBorder="1"/>
    <xf numFmtId="165" fontId="30" fillId="0" borderId="0" xfId="0" quotePrefix="1" applyNumberFormat="1" applyFont="1" applyAlignment="1">
      <alignment horizontal="left" vertical="center"/>
    </xf>
    <xf numFmtId="164" fontId="8" fillId="8" borderId="24" xfId="1" applyFont="1" applyFill="1" applyBorder="1" applyAlignment="1">
      <alignment horizontal="center"/>
    </xf>
    <xf numFmtId="0" fontId="51" fillId="0" borderId="7" xfId="0" quotePrefix="1" applyFont="1" applyBorder="1" applyAlignment="1">
      <alignment horizontal="center"/>
    </xf>
    <xf numFmtId="0" fontId="51" fillId="0" borderId="15" xfId="0" quotePrefix="1" applyFont="1" applyBorder="1" applyAlignment="1">
      <alignment horizontal="center"/>
    </xf>
    <xf numFmtId="164" fontId="57" fillId="0" borderId="17" xfId="1" applyFont="1" applyBorder="1"/>
    <xf numFmtId="164" fontId="57" fillId="0" borderId="5" xfId="1" applyFont="1" applyBorder="1"/>
    <xf numFmtId="0" fontId="57" fillId="0" borderId="27" xfId="0" quotePrefix="1" applyFont="1" applyBorder="1" applyAlignment="1">
      <alignment horizontal="center"/>
    </xf>
    <xf numFmtId="0" fontId="57" fillId="0" borderId="17" xfId="0" quotePrefix="1" applyFont="1" applyBorder="1" applyAlignment="1">
      <alignment horizontal="center"/>
    </xf>
    <xf numFmtId="0" fontId="57" fillId="0" borderId="5" xfId="0" quotePrefix="1" applyFont="1" applyBorder="1" applyAlignment="1">
      <alignment horizontal="center"/>
    </xf>
    <xf numFmtId="164" fontId="8" fillId="4" borderId="24" xfId="1" applyFont="1" applyFill="1" applyBorder="1" applyAlignment="1">
      <alignment horizontal="center"/>
    </xf>
    <xf numFmtId="164" fontId="55" fillId="0" borderId="1" xfId="1" applyFont="1" applyFill="1" applyBorder="1"/>
    <xf numFmtId="164" fontId="11" fillId="0" borderId="24" xfId="1" applyFont="1" applyFill="1" applyBorder="1" applyAlignment="1">
      <alignment horizontal="center"/>
    </xf>
    <xf numFmtId="0" fontId="36" fillId="0" borderId="26" xfId="0" applyFont="1" applyBorder="1" applyAlignment="1">
      <alignment horizontal="left"/>
    </xf>
    <xf numFmtId="0" fontId="58" fillId="0" borderId="0" xfId="0" applyFont="1" applyAlignment="1">
      <alignment horizontal="center"/>
    </xf>
    <xf numFmtId="164" fontId="58" fillId="0" borderId="0" xfId="1" applyFont="1" applyFill="1" applyBorder="1" applyAlignment="1">
      <alignment horizontal="left"/>
    </xf>
    <xf numFmtId="0" fontId="59" fillId="0" borderId="27" xfId="0" quotePrefix="1" applyFont="1" applyBorder="1" applyAlignment="1">
      <alignment horizontal="center"/>
    </xf>
    <xf numFmtId="0" fontId="59" fillId="0" borderId="17" xfId="0" quotePrefix="1" applyFont="1" applyBorder="1" applyAlignment="1">
      <alignment horizontal="center"/>
    </xf>
    <xf numFmtId="0" fontId="59" fillId="0" borderId="5" xfId="0" quotePrefix="1" applyFont="1" applyBorder="1" applyAlignment="1">
      <alignment horizontal="center"/>
    </xf>
    <xf numFmtId="164" fontId="8" fillId="9" borderId="24" xfId="1" applyFont="1" applyFill="1" applyBorder="1" applyAlignment="1">
      <alignment horizontal="center"/>
    </xf>
    <xf numFmtId="164" fontId="36" fillId="0" borderId="24" xfId="1" applyFont="1" applyBorder="1" applyAlignment="1">
      <alignment horizontal="center"/>
    </xf>
    <xf numFmtId="164" fontId="8" fillId="0" borderId="24" xfId="0" applyNumberFormat="1" applyFont="1" applyBorder="1" applyAlignment="1">
      <alignment horizontal="center"/>
    </xf>
    <xf numFmtId="0" fontId="10" fillId="9" borderId="26" xfId="0" applyFont="1" applyFill="1" applyBorder="1"/>
    <xf numFmtId="0" fontId="38" fillId="0" borderId="25" xfId="0" applyFont="1" applyBorder="1" applyAlignment="1">
      <alignment horizontal="center"/>
    </xf>
    <xf numFmtId="0" fontId="8" fillId="9" borderId="24" xfId="0" applyFont="1" applyFill="1" applyBorder="1" applyAlignment="1">
      <alignment horizontal="center"/>
    </xf>
    <xf numFmtId="0" fontId="8" fillId="9" borderId="26" xfId="0" applyFont="1" applyFill="1" applyBorder="1" applyAlignment="1">
      <alignment horizontal="left"/>
    </xf>
    <xf numFmtId="164" fontId="36" fillId="9" borderId="24" xfId="1" applyFont="1" applyFill="1" applyBorder="1" applyAlignment="1">
      <alignment horizontal="center"/>
    </xf>
    <xf numFmtId="164" fontId="11" fillId="0" borderId="16" xfId="1" applyFont="1" applyFill="1" applyBorder="1" applyAlignment="1">
      <alignment horizontal="center"/>
    </xf>
    <xf numFmtId="164" fontId="8" fillId="0" borderId="16" xfId="1" applyFont="1" applyBorder="1" applyAlignment="1">
      <alignment horizontal="left"/>
    </xf>
    <xf numFmtId="164" fontId="8" fillId="0" borderId="9" xfId="1" applyFont="1" applyFill="1" applyBorder="1" applyAlignment="1">
      <alignment horizontal="center"/>
    </xf>
    <xf numFmtId="43" fontId="11" fillId="0" borderId="16" xfId="0" applyNumberFormat="1" applyFont="1" applyBorder="1"/>
    <xf numFmtId="164" fontId="40" fillId="0" borderId="0" xfId="1" applyFont="1" applyBorder="1"/>
    <xf numFmtId="17" fontId="30" fillId="0" borderId="0" xfId="0" applyNumberFormat="1" applyFont="1" applyAlignment="1">
      <alignment horizontal="center"/>
    </xf>
    <xf numFmtId="164" fontId="45" fillId="0" borderId="0" xfId="1" applyFont="1"/>
    <xf numFmtId="164" fontId="45" fillId="0" borderId="1" xfId="1" applyFont="1" applyBorder="1"/>
    <xf numFmtId="164" fontId="8" fillId="0" borderId="0" xfId="0" applyNumberFormat="1" applyFont="1" applyAlignment="1">
      <alignment horizontal="center"/>
    </xf>
    <xf numFmtId="164" fontId="43" fillId="0" borderId="0" xfId="1" applyFont="1" applyFill="1" applyBorder="1" applyAlignment="1">
      <alignment horizontal="center"/>
    </xf>
    <xf numFmtId="0" fontId="0" fillId="8" borderId="0" xfId="0" applyFill="1"/>
    <xf numFmtId="0" fontId="8" fillId="10" borderId="0" xfId="0" applyFont="1" applyFill="1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center"/>
    </xf>
    <xf numFmtId="164" fontId="0" fillId="0" borderId="1" xfId="1" applyFont="1" applyBorder="1" applyAlignment="1">
      <alignment horizontal="center"/>
    </xf>
    <xf numFmtId="0" fontId="0" fillId="0" borderId="0" xfId="0" quotePrefix="1" applyAlignment="1">
      <alignment horizontal="center"/>
    </xf>
    <xf numFmtId="164" fontId="0" fillId="11" borderId="0" xfId="1" applyFont="1" applyFill="1"/>
    <xf numFmtId="164" fontId="0" fillId="5" borderId="0" xfId="1" applyFont="1" applyFill="1" applyAlignment="1">
      <alignment horizontal="center"/>
    </xf>
    <xf numFmtId="164" fontId="0" fillId="5" borderId="0" xfId="1" applyFont="1" applyFill="1"/>
    <xf numFmtId="164" fontId="3" fillId="0" borderId="0" xfId="1" applyFont="1"/>
    <xf numFmtId="164" fontId="3" fillId="5" borderId="0" xfId="1" applyFont="1" applyFill="1"/>
    <xf numFmtId="0" fontId="0" fillId="5" borderId="0" xfId="0" applyFill="1"/>
    <xf numFmtId="0" fontId="49" fillId="0" borderId="0" xfId="0" applyFont="1" applyAlignment="1">
      <alignment horizontal="center"/>
    </xf>
    <xf numFmtId="164" fontId="0" fillId="5" borderId="0" xfId="0" applyNumberFormat="1" applyFill="1"/>
    <xf numFmtId="164" fontId="0" fillId="11" borderId="1" xfId="1" applyFont="1" applyFill="1" applyBorder="1"/>
    <xf numFmtId="164" fontId="2" fillId="0" borderId="29" xfId="0" applyNumberFormat="1" applyFont="1" applyBorder="1"/>
    <xf numFmtId="164" fontId="2" fillId="5" borderId="0" xfId="1" applyFont="1" applyFill="1"/>
    <xf numFmtId="164" fontId="0" fillId="8" borderId="0" xfId="0" applyNumberFormat="1" applyFill="1"/>
    <xf numFmtId="164" fontId="0" fillId="6" borderId="0" xfId="1" applyFont="1" applyFill="1"/>
    <xf numFmtId="43" fontId="0" fillId="11" borderId="0" xfId="0" applyNumberFormat="1" applyFill="1"/>
    <xf numFmtId="164" fontId="0" fillId="6" borderId="0" xfId="0" applyNumberFormat="1" applyFill="1"/>
    <xf numFmtId="164" fontId="2" fillId="8" borderId="0" xfId="0" applyNumberFormat="1" applyFont="1" applyFill="1"/>
    <xf numFmtId="164" fontId="2" fillId="8" borderId="12" xfId="0" applyNumberFormat="1" applyFont="1" applyFill="1" applyBorder="1"/>
    <xf numFmtId="164" fontId="2" fillId="8" borderId="35" xfId="0" applyNumberFormat="1" applyFont="1" applyFill="1" applyBorder="1"/>
    <xf numFmtId="166" fontId="8" fillId="0" borderId="0" xfId="1" applyNumberFormat="1" applyFont="1"/>
    <xf numFmtId="164" fontId="11" fillId="8" borderId="0" xfId="1" applyFont="1" applyFill="1"/>
    <xf numFmtId="164" fontId="4" fillId="0" borderId="1" xfId="1" applyFont="1" applyBorder="1"/>
    <xf numFmtId="164" fontId="4" fillId="8" borderId="0" xfId="1" applyFont="1" applyFill="1"/>
    <xf numFmtId="164" fontId="0" fillId="8" borderId="0" xfId="1" applyFont="1" applyFill="1"/>
    <xf numFmtId="0" fontId="57" fillId="0" borderId="14" xfId="0" quotePrefix="1" applyFont="1" applyBorder="1" applyAlignment="1">
      <alignment horizontal="center"/>
    </xf>
    <xf numFmtId="164" fontId="30" fillId="0" borderId="1" xfId="1" applyFont="1" applyFill="1" applyBorder="1" applyAlignment="1">
      <alignment horizontal="center"/>
    </xf>
    <xf numFmtId="164" fontId="40" fillId="0" borderId="1" xfId="0" applyNumberFormat="1" applyFont="1" applyBorder="1" applyAlignment="1">
      <alignment horizontal="center"/>
    </xf>
    <xf numFmtId="0" fontId="35" fillId="0" borderId="26" xfId="0" applyFont="1" applyBorder="1"/>
    <xf numFmtId="164" fontId="36" fillId="0" borderId="24" xfId="1" applyFont="1" applyFill="1" applyBorder="1" applyAlignment="1">
      <alignment horizontal="center"/>
    </xf>
    <xf numFmtId="164" fontId="40" fillId="0" borderId="1" xfId="0" applyNumberFormat="1" applyFont="1" applyBorder="1"/>
    <xf numFmtId="164" fontId="9" fillId="0" borderId="0" xfId="0" applyNumberFormat="1" applyFont="1" applyAlignment="1">
      <alignment horizontal="center"/>
    </xf>
    <xf numFmtId="0" fontId="8" fillId="0" borderId="20" xfId="0" applyFont="1" applyBorder="1" applyAlignment="1">
      <alignment horizontal="center"/>
    </xf>
    <xf numFmtId="0" fontId="8" fillId="0" borderId="36" xfId="0" applyFont="1" applyBorder="1" applyAlignment="1">
      <alignment horizontal="left"/>
    </xf>
    <xf numFmtId="164" fontId="8" fillId="0" borderId="34" xfId="1" applyFont="1" applyBorder="1" applyAlignment="1">
      <alignment horizontal="center"/>
    </xf>
    <xf numFmtId="164" fontId="11" fillId="0" borderId="37" xfId="1" applyFont="1" applyFill="1" applyBorder="1" applyAlignment="1">
      <alignment horizontal="left"/>
    </xf>
    <xf numFmtId="164" fontId="8" fillId="0" borderId="34" xfId="1" applyFont="1" applyBorder="1" applyAlignment="1">
      <alignment horizontal="left"/>
    </xf>
    <xf numFmtId="164" fontId="11" fillId="0" borderId="34" xfId="1" applyFont="1" applyBorder="1" applyAlignment="1">
      <alignment horizontal="center"/>
    </xf>
    <xf numFmtId="164" fontId="57" fillId="0" borderId="17" xfId="1" applyFont="1" applyFill="1" applyBorder="1"/>
    <xf numFmtId="164" fontId="57" fillId="0" borderId="5" xfId="1" applyFont="1" applyFill="1" applyBorder="1"/>
    <xf numFmtId="164" fontId="8" fillId="12" borderId="34" xfId="1" applyFont="1" applyFill="1" applyBorder="1" applyAlignment="1">
      <alignment horizontal="center"/>
    </xf>
    <xf numFmtId="164" fontId="8" fillId="12" borderId="24" xfId="1" applyFont="1" applyFill="1" applyBorder="1" applyAlignment="1">
      <alignment horizontal="center"/>
    </xf>
    <xf numFmtId="164" fontId="38" fillId="0" borderId="0" xfId="1" applyFont="1"/>
    <xf numFmtId="164" fontId="0" fillId="12" borderId="0" xfId="1" applyFont="1" applyFill="1"/>
    <xf numFmtId="164" fontId="8" fillId="0" borderId="34" xfId="1" applyFont="1" applyFill="1" applyBorder="1" applyAlignment="1">
      <alignment horizontal="center"/>
    </xf>
    <xf numFmtId="164" fontId="0" fillId="0" borderId="0" xfId="1" applyFont="1" applyFill="1"/>
    <xf numFmtId="164" fontId="38" fillId="0" borderId="0" xfId="1" applyFont="1" applyFill="1"/>
    <xf numFmtId="164" fontId="48" fillId="0" borderId="0" xfId="0" applyNumberFormat="1" applyFont="1" applyAlignment="1">
      <alignment horizontal="center"/>
    </xf>
    <xf numFmtId="164" fontId="30" fillId="0" borderId="0" xfId="1" applyFont="1"/>
    <xf numFmtId="164" fontId="44" fillId="0" borderId="0" xfId="1" applyFont="1"/>
    <xf numFmtId="164" fontId="60" fillId="0" borderId="0" xfId="1" applyFont="1" applyBorder="1"/>
    <xf numFmtId="0" fontId="10" fillId="12" borderId="26" xfId="0" applyFont="1" applyFill="1" applyBorder="1"/>
    <xf numFmtId="0" fontId="8" fillId="12" borderId="36" xfId="0" applyFont="1" applyFill="1" applyBorder="1" applyAlignment="1">
      <alignment horizontal="left"/>
    </xf>
    <xf numFmtId="0" fontId="0" fillId="0" borderId="25" xfId="0" applyBorder="1" applyAlignment="1">
      <alignment horizontal="center"/>
    </xf>
    <xf numFmtId="164" fontId="8" fillId="0" borderId="24" xfId="1" applyFont="1" applyFill="1" applyBorder="1" applyAlignment="1">
      <alignment horizontal="left"/>
    </xf>
    <xf numFmtId="164" fontId="8" fillId="0" borderId="34" xfId="1" applyFont="1" applyFill="1" applyBorder="1" applyAlignment="1">
      <alignment horizontal="left"/>
    </xf>
    <xf numFmtId="164" fontId="11" fillId="0" borderId="34" xfId="1" applyFont="1" applyFill="1" applyBorder="1" applyAlignment="1">
      <alignment horizontal="center"/>
    </xf>
    <xf numFmtId="164" fontId="36" fillId="0" borderId="34" xfId="1" applyFont="1" applyFill="1" applyBorder="1" applyAlignment="1">
      <alignment horizontal="center"/>
    </xf>
    <xf numFmtId="43" fontId="8" fillId="0" borderId="37" xfId="0" applyNumberFormat="1" applyFont="1" applyBorder="1" applyAlignment="1">
      <alignment horizontal="center"/>
    </xf>
    <xf numFmtId="0" fontId="8" fillId="0" borderId="9" xfId="0" quotePrefix="1" applyFont="1" applyBorder="1" applyAlignment="1">
      <alignment horizontal="center"/>
    </xf>
    <xf numFmtId="164" fontId="8" fillId="0" borderId="16" xfId="1" applyFont="1" applyFill="1" applyBorder="1" applyAlignment="1">
      <alignment horizontal="center"/>
    </xf>
    <xf numFmtId="164" fontId="8" fillId="0" borderId="16" xfId="1" applyFont="1" applyFill="1" applyBorder="1" applyAlignment="1">
      <alignment horizontal="left"/>
    </xf>
    <xf numFmtId="164" fontId="8" fillId="0" borderId="1" xfId="1" applyFont="1" applyFill="1" applyBorder="1" applyAlignment="1">
      <alignment horizontal="center"/>
    </xf>
    <xf numFmtId="164" fontId="8" fillId="0" borderId="38" xfId="1" applyFont="1" applyFill="1" applyBorder="1" applyAlignment="1">
      <alignment horizontal="center"/>
    </xf>
    <xf numFmtId="43" fontId="11" fillId="0" borderId="37" xfId="0" applyNumberFormat="1" applyFont="1" applyBorder="1"/>
    <xf numFmtId="0" fontId="8" fillId="0" borderId="29" xfId="0" applyFont="1" applyBorder="1" applyAlignment="1">
      <alignment horizontal="center"/>
    </xf>
    <xf numFmtId="0" fontId="8" fillId="0" borderId="30" xfId="0" applyFont="1" applyBorder="1" applyAlignment="1">
      <alignment horizontal="center"/>
    </xf>
    <xf numFmtId="0" fontId="8" fillId="0" borderId="39" xfId="0" applyFont="1" applyBorder="1" applyAlignment="1">
      <alignment horizontal="left"/>
    </xf>
    <xf numFmtId="164" fontId="8" fillId="0" borderId="30" xfId="1" applyFont="1" applyFill="1" applyBorder="1" applyAlignment="1">
      <alignment horizontal="center"/>
    </xf>
    <xf numFmtId="164" fontId="8" fillId="0" borderId="30" xfId="1" applyFont="1" applyFill="1" applyBorder="1" applyAlignment="1">
      <alignment horizontal="left"/>
    </xf>
    <xf numFmtId="164" fontId="8" fillId="0" borderId="29" xfId="1" applyFont="1" applyFill="1" applyBorder="1" applyAlignment="1">
      <alignment horizontal="center"/>
    </xf>
    <xf numFmtId="164" fontId="8" fillId="0" borderId="28" xfId="1" applyFont="1" applyFill="1" applyBorder="1" applyAlignment="1">
      <alignment horizontal="center"/>
    </xf>
    <xf numFmtId="43" fontId="11" fillId="0" borderId="30" xfId="0" applyNumberFormat="1" applyFont="1" applyBorder="1"/>
    <xf numFmtId="0" fontId="0" fillId="12" borderId="0" xfId="0" applyFill="1"/>
    <xf numFmtId="164" fontId="30" fillId="0" borderId="0" xfId="1" applyFont="1" applyFill="1" applyBorder="1" applyAlignment="1">
      <alignment horizontal="center" vertical="center"/>
    </xf>
    <xf numFmtId="0" fontId="30" fillId="0" borderId="0" xfId="0" applyFont="1" applyAlignment="1">
      <alignment horizontal="center" vertical="center"/>
    </xf>
    <xf numFmtId="0" fontId="36" fillId="0" borderId="36" xfId="0" applyFont="1" applyBorder="1" applyAlignment="1">
      <alignment horizontal="left"/>
    </xf>
    <xf numFmtId="0" fontId="57" fillId="0" borderId="38" xfId="0" quotePrefix="1" applyFont="1" applyBorder="1" applyAlignment="1">
      <alignment horizontal="center"/>
    </xf>
    <xf numFmtId="0" fontId="57" fillId="0" borderId="18" xfId="0" quotePrefix="1" applyFont="1" applyBorder="1" applyAlignment="1">
      <alignment horizontal="center"/>
    </xf>
    <xf numFmtId="0" fontId="51" fillId="0" borderId="12" xfId="0" quotePrefix="1" applyFont="1" applyBorder="1" applyAlignment="1">
      <alignment horizontal="center"/>
    </xf>
    <xf numFmtId="164" fontId="57" fillId="0" borderId="18" xfId="1" applyFont="1" applyFill="1" applyBorder="1"/>
    <xf numFmtId="0" fontId="57" fillId="0" borderId="31" xfId="0" quotePrefix="1" applyFont="1" applyBorder="1" applyAlignment="1">
      <alignment horizontal="center"/>
    </xf>
    <xf numFmtId="164" fontId="57" fillId="0" borderId="31" xfId="1" applyFont="1" applyFill="1" applyBorder="1"/>
    <xf numFmtId="164" fontId="48" fillId="0" borderId="0" xfId="1" applyFont="1"/>
    <xf numFmtId="164" fontId="48" fillId="0" borderId="0" xfId="1" applyFont="1" applyBorder="1"/>
    <xf numFmtId="164" fontId="45" fillId="0" borderId="0" xfId="1" applyFont="1" applyBorder="1"/>
    <xf numFmtId="0" fontId="58" fillId="0" borderId="0" xfId="0" applyFont="1"/>
    <xf numFmtId="164" fontId="40" fillId="0" borderId="0" xfId="0" applyNumberFormat="1" applyFont="1" applyAlignment="1">
      <alignment horizontal="center"/>
    </xf>
    <xf numFmtId="43" fontId="0" fillId="8" borderId="0" xfId="0" applyNumberFormat="1" applyFill="1"/>
    <xf numFmtId="164" fontId="8" fillId="0" borderId="34" xfId="1" applyFont="1" applyBorder="1" applyAlignment="1">
      <alignment horizontal="center" vertical="center"/>
    </xf>
    <xf numFmtId="43" fontId="8" fillId="0" borderId="24" xfId="0" applyNumberFormat="1" applyFont="1" applyFill="1" applyBorder="1" applyAlignment="1">
      <alignment horizontal="center"/>
    </xf>
    <xf numFmtId="0" fontId="8" fillId="0" borderId="0" xfId="0" applyFont="1" applyAlignment="1">
      <alignment horizontal="center"/>
    </xf>
    <xf numFmtId="0" fontId="30" fillId="0" borderId="0" xfId="0" applyFont="1" applyAlignment="1">
      <alignment horizontal="center"/>
    </xf>
    <xf numFmtId="0" fontId="40" fillId="0" borderId="0" xfId="0" applyFont="1" applyAlignment="1">
      <alignment horizontal="center"/>
    </xf>
    <xf numFmtId="0" fontId="40" fillId="0" borderId="0" xfId="0" applyFont="1"/>
    <xf numFmtId="0" fontId="46" fillId="0" borderId="0" xfId="0" applyFont="1" applyAlignment="1">
      <alignment horizontal="center"/>
    </xf>
    <xf numFmtId="0" fontId="29" fillId="0" borderId="0" xfId="0" applyFont="1" applyAlignment="1">
      <alignment horizontal="center"/>
    </xf>
    <xf numFmtId="0" fontId="30" fillId="0" borderId="0" xfId="0" applyFont="1" applyAlignment="1">
      <alignment horizontal="left"/>
    </xf>
    <xf numFmtId="0" fontId="40" fillId="0" borderId="0" xfId="0" applyFont="1" applyAlignment="1">
      <alignment horizontal="left"/>
    </xf>
    <xf numFmtId="0" fontId="8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8" fillId="2" borderId="17" xfId="0" applyFont="1" applyFill="1" applyBorder="1" applyAlignment="1">
      <alignment horizontal="center" vertical="center" wrapText="1"/>
    </xf>
    <xf numFmtId="0" fontId="8" fillId="2" borderId="18" xfId="0" applyFont="1" applyFill="1" applyBorder="1" applyAlignment="1">
      <alignment horizontal="center" vertical="center" wrapText="1"/>
    </xf>
    <xf numFmtId="0" fontId="13" fillId="3" borderId="11" xfId="0" applyFont="1" applyFill="1" applyBorder="1" applyAlignment="1">
      <alignment horizontal="center"/>
    </xf>
    <xf numFmtId="0" fontId="13" fillId="3" borderId="12" xfId="0" applyFont="1" applyFill="1" applyBorder="1" applyAlignment="1">
      <alignment horizontal="center"/>
    </xf>
    <xf numFmtId="0" fontId="11" fillId="0" borderId="0" xfId="0" applyFont="1" applyAlignment="1">
      <alignment horizontal="center"/>
    </xf>
    <xf numFmtId="0" fontId="11" fillId="3" borderId="6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0" fontId="8" fillId="2" borderId="32" xfId="0" applyFont="1" applyFill="1" applyBorder="1" applyAlignment="1">
      <alignment horizontal="center"/>
    </xf>
    <xf numFmtId="0" fontId="36" fillId="0" borderId="0" xfId="0" applyFont="1" applyAlignment="1">
      <alignment horizontal="center"/>
    </xf>
    <xf numFmtId="0" fontId="38" fillId="0" borderId="0" xfId="0" applyFont="1" applyAlignment="1">
      <alignment horizontal="center"/>
    </xf>
    <xf numFmtId="0" fontId="40" fillId="0" borderId="0" xfId="0" applyFont="1"/>
    <xf numFmtId="0" fontId="40" fillId="0" borderId="0" xfId="0" applyFont="1" applyAlignment="1">
      <alignment horizontal="center"/>
    </xf>
    <xf numFmtId="164" fontId="39" fillId="4" borderId="7" xfId="1" applyFont="1" applyFill="1" applyBorder="1" applyAlignment="1">
      <alignment horizontal="center" vertical="center"/>
    </xf>
    <xf numFmtId="164" fontId="39" fillId="4" borderId="12" xfId="1" applyFont="1" applyFill="1" applyBorder="1" applyAlignment="1">
      <alignment horizontal="center" vertical="center"/>
    </xf>
    <xf numFmtId="164" fontId="39" fillId="0" borderId="7" xfId="1" applyFont="1" applyFill="1" applyBorder="1" applyAlignment="1">
      <alignment horizontal="center"/>
    </xf>
    <xf numFmtId="164" fontId="39" fillId="0" borderId="0" xfId="1" applyFont="1" applyFill="1" applyBorder="1" applyAlignment="1">
      <alignment horizontal="center"/>
    </xf>
    <xf numFmtId="0" fontId="40" fillId="0" borderId="7" xfId="0" applyFont="1" applyBorder="1" applyAlignment="1">
      <alignment horizontal="left" vertical="center"/>
    </xf>
    <xf numFmtId="0" fontId="40" fillId="0" borderId="0" xfId="0" applyFont="1" applyAlignment="1">
      <alignment horizontal="left" vertical="center"/>
    </xf>
    <xf numFmtId="0" fontId="46" fillId="0" borderId="7" xfId="0" applyFont="1" applyBorder="1" applyAlignment="1">
      <alignment horizontal="center"/>
    </xf>
    <xf numFmtId="0" fontId="46" fillId="0" borderId="0" xfId="0" applyFont="1" applyAlignment="1">
      <alignment horizontal="center"/>
    </xf>
    <xf numFmtId="0" fontId="46" fillId="4" borderId="7" xfId="0" applyFont="1" applyFill="1" applyBorder="1" applyAlignment="1">
      <alignment horizontal="center"/>
    </xf>
    <xf numFmtId="0" fontId="46" fillId="4" borderId="12" xfId="0" applyFont="1" applyFill="1" applyBorder="1" applyAlignment="1">
      <alignment horizontal="center"/>
    </xf>
    <xf numFmtId="0" fontId="29" fillId="0" borderId="0" xfId="0" applyFont="1" applyAlignment="1">
      <alignment horizontal="center"/>
    </xf>
    <xf numFmtId="0" fontId="40" fillId="4" borderId="7" xfId="0" applyFont="1" applyFill="1" applyBorder="1" applyAlignment="1">
      <alignment horizontal="left" vertical="center"/>
    </xf>
    <xf numFmtId="0" fontId="40" fillId="4" borderId="12" xfId="0" applyFont="1" applyFill="1" applyBorder="1" applyAlignment="1">
      <alignment horizontal="left" vertical="center"/>
    </xf>
    <xf numFmtId="0" fontId="30" fillId="0" borderId="4" xfId="0" applyFont="1" applyBorder="1" applyAlignment="1">
      <alignment horizontal="left"/>
    </xf>
    <xf numFmtId="0" fontId="30" fillId="0" borderId="0" xfId="0" applyFont="1" applyAlignment="1">
      <alignment horizontal="left"/>
    </xf>
    <xf numFmtId="0" fontId="30" fillId="0" borderId="0" xfId="0" applyFont="1" applyAlignment="1">
      <alignment horizontal="center"/>
    </xf>
    <xf numFmtId="0" fontId="11" fillId="0" borderId="7" xfId="0" applyFont="1" applyBorder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40" fillId="0" borderId="0" xfId="0" applyFont="1" applyAlignment="1">
      <alignment horizontal="left"/>
    </xf>
    <xf numFmtId="0" fontId="8" fillId="0" borderId="4" xfId="0" applyFont="1" applyBorder="1" applyAlignment="1">
      <alignment horizontal="left"/>
    </xf>
    <xf numFmtId="0" fontId="8" fillId="0" borderId="0" xfId="0" applyFont="1" applyAlignment="1">
      <alignment horizontal="left" vertical="center"/>
    </xf>
    <xf numFmtId="0" fontId="11" fillId="4" borderId="7" xfId="0" applyFont="1" applyFill="1" applyBorder="1" applyAlignment="1">
      <alignment horizontal="left" vertical="center"/>
    </xf>
    <xf numFmtId="0" fontId="11" fillId="4" borderId="12" xfId="0" applyFont="1" applyFill="1" applyBorder="1" applyAlignment="1">
      <alignment horizontal="left" vertical="center"/>
    </xf>
    <xf numFmtId="0" fontId="8" fillId="7" borderId="17" xfId="0" applyFont="1" applyFill="1" applyBorder="1" applyAlignment="1">
      <alignment horizontal="center" vertical="center" wrapText="1"/>
    </xf>
    <xf numFmtId="0" fontId="8" fillId="7" borderId="18" xfId="0" applyFont="1" applyFill="1" applyBorder="1" applyAlignment="1">
      <alignment horizontal="center" vertical="center" wrapText="1"/>
    </xf>
    <xf numFmtId="0" fontId="8" fillId="7" borderId="32" xfId="0" applyFont="1" applyFill="1" applyBorder="1" applyAlignment="1">
      <alignment horizontal="center"/>
    </xf>
    <xf numFmtId="164" fontId="39" fillId="0" borderId="1" xfId="1" applyFont="1" applyFill="1" applyBorder="1" applyAlignment="1">
      <alignment horizontal="center"/>
    </xf>
    <xf numFmtId="14" fontId="30" fillId="0" borderId="0" xfId="0" applyNumberFormat="1" applyFont="1" applyAlignment="1">
      <alignment horizontal="left"/>
    </xf>
    <xf numFmtId="17" fontId="30" fillId="0" borderId="0" xfId="0" quotePrefix="1" applyNumberFormat="1" applyFont="1" applyAlignment="1">
      <alignment horizontal="center"/>
    </xf>
    <xf numFmtId="14" fontId="30" fillId="0" borderId="0" xfId="0" applyNumberFormat="1" applyFont="1" applyAlignment="1">
      <alignment horizontal="left" vertical="center"/>
    </xf>
    <xf numFmtId="0" fontId="57" fillId="0" borderId="37" xfId="0" quotePrefix="1" applyFont="1" applyBorder="1" applyAlignment="1">
      <alignment horizontal="center"/>
    </xf>
    <xf numFmtId="0" fontId="51" fillId="0" borderId="1" xfId="0" quotePrefix="1" applyFont="1" applyBorder="1" applyAlignment="1">
      <alignment horizontal="center"/>
    </xf>
    <xf numFmtId="164" fontId="57" fillId="0" borderId="37" xfId="1" applyFont="1" applyFill="1" applyBorder="1"/>
    <xf numFmtId="12" fontId="0" fillId="0" borderId="0" xfId="0" applyNumberFormat="1"/>
    <xf numFmtId="0" fontId="8" fillId="0" borderId="0" xfId="0" applyFont="1" applyFill="1" applyAlignment="1">
      <alignment horizontal="left" vertical="center"/>
    </xf>
    <xf numFmtId="0" fontId="30" fillId="0" borderId="4" xfId="0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externalLink" Target="externalLinks/externalLink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8" Type="http://schemas.openxmlformats.org/officeDocument/2006/relationships/worksheet" Target="worksheets/sheet8.xml"/><Relationship Id="rId51" Type="http://schemas.openxmlformats.org/officeDocument/2006/relationships/theme" Target="theme/theme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ser3\Downloads\DCV_FinancialReports_AUGUST_2024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_2024_FinancialReport"/>
      <sheetName val="Jan. 2024_AckReceipt"/>
      <sheetName val="FEB_2024_Sched A"/>
      <sheetName val="FEB_2024_FR"/>
      <sheetName val="Mar_2024_FR"/>
      <sheetName val="Mar_2024_Sched A"/>
      <sheetName val="April_2024_FR"/>
      <sheetName val="April_2024_Sched A"/>
      <sheetName val="May-2024_FR"/>
      <sheetName val="May-2024-Sched A"/>
      <sheetName val="June-2024-FR"/>
      <sheetName val="June-2024-SchedA"/>
      <sheetName val="July-2024-FR"/>
      <sheetName val="July-2024-Sched A"/>
      <sheetName val="Aug-2024-FR"/>
      <sheetName val="Aug-2024-Sched A"/>
      <sheetName val="Sheet2"/>
      <sheetName val="Sheet3"/>
      <sheetName val="April 2021"/>
      <sheetName val="May 2021"/>
      <sheetName val="June 2022"/>
      <sheetName val="July 2022"/>
      <sheetName val="Aug. 2022"/>
      <sheetName val="Sept. 2022"/>
      <sheetName val="Oct. 2023"/>
      <sheetName val="Nov. 2023"/>
      <sheetName val="Dec. 2023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42">
          <cell r="I42">
            <v>0</v>
          </cell>
        </row>
      </sheetData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C3B486-DF1B-47A9-827D-890F96630F87}">
  <dimension ref="B1:R56"/>
  <sheetViews>
    <sheetView topLeftCell="A25" workbookViewId="0">
      <selection activeCell="P57" sqref="P57"/>
    </sheetView>
  </sheetViews>
  <sheetFormatPr defaultRowHeight="14.6" x14ac:dyDescent="0.4"/>
  <cols>
    <col min="1" max="1" width="8.07421875" customWidth="1"/>
    <col min="2" max="2" width="11.3046875" customWidth="1"/>
    <col min="3" max="3" width="0.53515625" customWidth="1"/>
    <col min="5" max="5" width="0.84375" customWidth="1"/>
    <col min="7" max="7" width="12.07421875" customWidth="1"/>
    <col min="8" max="8" width="0.69140625" customWidth="1"/>
    <col min="9" max="9" width="10.3046875" bestFit="1" customWidth="1"/>
    <col min="10" max="10" width="0.84375" customWidth="1"/>
    <col min="11" max="11" width="12.07421875" customWidth="1"/>
    <col min="12" max="12" width="1" customWidth="1"/>
    <col min="13" max="13" width="13.3046875" customWidth="1"/>
    <col min="14" max="14" width="1" customWidth="1"/>
    <col min="15" max="15" width="12.3046875" bestFit="1" customWidth="1"/>
    <col min="16" max="16" width="11.84375" customWidth="1"/>
    <col min="17" max="17" width="10.07421875" bestFit="1" customWidth="1"/>
  </cols>
  <sheetData>
    <row r="1" spans="2:17" ht="13.5" customHeight="1" x14ac:dyDescent="0.4"/>
    <row r="2" spans="2:17" ht="13.5" customHeight="1" x14ac:dyDescent="0.4">
      <c r="B2" s="8"/>
      <c r="C2" s="8"/>
      <c r="D2" s="8" t="s">
        <v>246</v>
      </c>
      <c r="E2" s="8"/>
      <c r="F2" s="8"/>
      <c r="G2" s="8"/>
      <c r="H2" s="8"/>
      <c r="I2" s="8"/>
      <c r="J2" s="8"/>
      <c r="K2" s="8"/>
      <c r="L2" s="8"/>
      <c r="M2" s="8"/>
      <c r="N2" s="8"/>
      <c r="O2" s="8"/>
    </row>
    <row r="3" spans="2:17" ht="13.5" customHeight="1" x14ac:dyDescent="0.4">
      <c r="B3" s="8"/>
      <c r="C3" s="8"/>
      <c r="D3" s="8" t="s">
        <v>247</v>
      </c>
      <c r="E3" s="8"/>
      <c r="F3" s="8"/>
      <c r="G3" s="8"/>
      <c r="H3" s="8"/>
      <c r="I3" s="8"/>
      <c r="J3" s="8"/>
      <c r="K3" s="8"/>
      <c r="L3" s="8"/>
      <c r="M3" s="8"/>
      <c r="N3" s="8"/>
      <c r="O3" s="8"/>
    </row>
    <row r="4" spans="2:17" ht="13.5" customHeight="1" x14ac:dyDescent="0.4">
      <c r="B4" s="8"/>
      <c r="C4" s="8"/>
      <c r="D4" s="8" t="s">
        <v>248</v>
      </c>
      <c r="E4" s="8"/>
      <c r="F4" s="8"/>
      <c r="G4" s="8"/>
      <c r="H4" s="8"/>
      <c r="I4" s="8"/>
      <c r="J4" s="8"/>
      <c r="K4" s="8"/>
      <c r="L4" s="8"/>
      <c r="M4" s="8"/>
      <c r="N4" s="8"/>
      <c r="O4" s="8"/>
    </row>
    <row r="5" spans="2:17" ht="13.5" customHeight="1" x14ac:dyDescent="0.4">
      <c r="B5" s="8"/>
      <c r="C5" s="8"/>
      <c r="D5" s="8" t="s">
        <v>249</v>
      </c>
      <c r="E5" s="8"/>
      <c r="F5" s="8"/>
      <c r="G5" s="8"/>
      <c r="H5" s="8"/>
      <c r="I5" s="8"/>
      <c r="J5" s="8"/>
      <c r="K5" s="8"/>
      <c r="L5" s="8"/>
      <c r="M5" s="8"/>
      <c r="N5" s="8"/>
      <c r="O5" s="8"/>
    </row>
    <row r="6" spans="2:17" ht="13.5" customHeight="1" x14ac:dyDescent="0.4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spans="2:17" ht="13.5" customHeight="1" x14ac:dyDescent="0.4"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spans="2:17" ht="15" customHeight="1" x14ac:dyDescent="0.45">
      <c r="B8" s="8"/>
      <c r="C8" s="8"/>
      <c r="D8" s="8"/>
      <c r="E8" s="8"/>
      <c r="F8" s="8"/>
      <c r="G8" s="112" t="s">
        <v>250</v>
      </c>
      <c r="H8" s="8"/>
      <c r="I8" s="8"/>
      <c r="J8" s="8"/>
      <c r="K8" s="8"/>
      <c r="L8" s="8"/>
      <c r="M8" s="8"/>
      <c r="N8" s="8"/>
      <c r="O8" s="8"/>
    </row>
    <row r="9" spans="2:17" ht="15" customHeight="1" x14ac:dyDescent="0.45">
      <c r="B9" s="8"/>
      <c r="C9" s="8"/>
      <c r="D9" s="8"/>
      <c r="E9" s="8"/>
      <c r="F9" s="8"/>
      <c r="G9" s="113" t="s">
        <v>263</v>
      </c>
      <c r="H9" s="8"/>
      <c r="I9" s="8"/>
      <c r="J9" s="8"/>
      <c r="K9" s="8"/>
      <c r="L9" s="8"/>
      <c r="M9" s="8"/>
      <c r="N9" s="8"/>
      <c r="O9" s="8"/>
    </row>
    <row r="10" spans="2:17" ht="15" customHeight="1" x14ac:dyDescent="0.45">
      <c r="B10" s="8"/>
      <c r="C10" s="8"/>
      <c r="D10" s="8"/>
      <c r="E10" s="8"/>
      <c r="F10" s="8"/>
      <c r="G10" s="113"/>
      <c r="H10" s="8"/>
      <c r="I10" s="8"/>
      <c r="J10" s="8"/>
      <c r="K10" s="8"/>
      <c r="L10" s="8"/>
      <c r="M10" s="8"/>
      <c r="N10" s="8"/>
      <c r="O10" s="8"/>
    </row>
    <row r="11" spans="2:17" ht="15" customHeight="1" x14ac:dyDescent="0.4"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spans="2:17" ht="15" customHeight="1" thickBot="1" x14ac:dyDescent="0.45">
      <c r="B12" s="8" t="s">
        <v>264</v>
      </c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46">
        <v>12090</v>
      </c>
      <c r="P12" s="46" t="s">
        <v>245</v>
      </c>
      <c r="Q12" s="135" t="s">
        <v>245</v>
      </c>
    </row>
    <row r="13" spans="2:17" ht="15" customHeight="1" thickTop="1" x14ac:dyDescent="0.4">
      <c r="B13" s="8"/>
      <c r="C13" s="8"/>
      <c r="D13" s="8"/>
      <c r="E13" s="8"/>
      <c r="F13" s="8"/>
      <c r="G13" s="8"/>
      <c r="H13" s="8"/>
      <c r="I13" s="19" t="s">
        <v>265</v>
      </c>
      <c r="J13" s="19"/>
      <c r="K13" s="19" t="s">
        <v>251</v>
      </c>
      <c r="L13" s="50"/>
      <c r="M13" s="8"/>
      <c r="N13" s="8"/>
      <c r="O13" s="8"/>
    </row>
    <row r="14" spans="2:17" ht="15" customHeight="1" x14ac:dyDescent="0.4">
      <c r="B14" s="8" t="s">
        <v>252</v>
      </c>
      <c r="C14" s="8"/>
      <c r="D14" s="8"/>
      <c r="E14" s="8"/>
      <c r="F14" s="8"/>
      <c r="G14" s="19" t="s">
        <v>128</v>
      </c>
      <c r="H14" s="8"/>
      <c r="I14" s="19" t="s">
        <v>2</v>
      </c>
      <c r="J14" s="19"/>
      <c r="K14" s="19" t="s">
        <v>123</v>
      </c>
      <c r="L14" s="10"/>
      <c r="M14" s="8"/>
      <c r="N14" s="8"/>
      <c r="O14" s="8"/>
    </row>
    <row r="15" spans="2:17" ht="15" customHeight="1" x14ac:dyDescent="0.4">
      <c r="B15" s="8"/>
      <c r="C15" s="8"/>
      <c r="D15" s="19" t="s">
        <v>159</v>
      </c>
      <c r="E15" s="19"/>
      <c r="F15" s="29" t="s">
        <v>154</v>
      </c>
      <c r="G15" s="21">
        <v>1276</v>
      </c>
      <c r="H15" s="9"/>
      <c r="I15" s="136">
        <v>0</v>
      </c>
      <c r="J15" s="24"/>
      <c r="K15" s="10">
        <v>1276</v>
      </c>
      <c r="L15" s="94"/>
      <c r="M15" s="8"/>
      <c r="N15" s="8"/>
      <c r="O15" s="44"/>
    </row>
    <row r="16" spans="2:17" ht="15" customHeight="1" x14ac:dyDescent="0.4">
      <c r="B16" s="8"/>
      <c r="C16" s="8"/>
      <c r="D16" s="19"/>
      <c r="E16" s="19"/>
      <c r="F16" s="29" t="s">
        <v>25</v>
      </c>
      <c r="G16" s="114" t="s">
        <v>266</v>
      </c>
      <c r="H16" s="9"/>
      <c r="I16" s="114"/>
      <c r="J16" s="24"/>
      <c r="K16" s="114"/>
      <c r="L16" s="21"/>
      <c r="M16" s="8"/>
      <c r="N16" s="8"/>
      <c r="O16" s="10"/>
    </row>
    <row r="17" spans="2:16" ht="15" customHeight="1" x14ac:dyDescent="0.4">
      <c r="B17" s="8"/>
      <c r="C17" s="8"/>
      <c r="D17" s="19"/>
      <c r="E17" s="19"/>
      <c r="F17" s="29">
        <v>14</v>
      </c>
      <c r="G17" s="27">
        <v>1860</v>
      </c>
      <c r="H17" s="9"/>
      <c r="I17" s="114"/>
      <c r="J17" s="24"/>
      <c r="K17" s="114">
        <v>1860</v>
      </c>
      <c r="L17" s="21"/>
      <c r="M17" s="8"/>
      <c r="N17" s="8"/>
      <c r="O17" s="10"/>
    </row>
    <row r="18" spans="2:16" ht="15" customHeight="1" x14ac:dyDescent="0.4">
      <c r="B18" s="8"/>
      <c r="C18" s="8"/>
      <c r="D18" s="19"/>
      <c r="E18" s="19"/>
      <c r="F18" s="29">
        <v>21</v>
      </c>
      <c r="G18" s="115">
        <v>2590</v>
      </c>
      <c r="H18" s="9"/>
      <c r="I18" s="143">
        <v>1000</v>
      </c>
      <c r="J18" s="24"/>
      <c r="K18" s="143">
        <v>1590</v>
      </c>
      <c r="L18" s="21"/>
      <c r="M18" s="8"/>
      <c r="N18" s="8"/>
      <c r="O18" s="10"/>
    </row>
    <row r="19" spans="2:16" ht="15" customHeight="1" x14ac:dyDescent="0.4">
      <c r="B19" s="8"/>
      <c r="C19" s="8"/>
      <c r="D19" s="19"/>
      <c r="E19" s="19"/>
      <c r="F19" s="29">
        <v>28</v>
      </c>
      <c r="G19" s="95">
        <v>2376</v>
      </c>
      <c r="H19" s="9"/>
      <c r="I19" s="142">
        <v>1000</v>
      </c>
      <c r="J19" s="24"/>
      <c r="K19" s="142">
        <v>1376</v>
      </c>
      <c r="L19" s="10"/>
      <c r="M19" s="44"/>
      <c r="N19" s="8"/>
      <c r="O19" s="44"/>
    </row>
    <row r="20" spans="2:16" ht="15" customHeight="1" x14ac:dyDescent="0.4">
      <c r="B20" s="8"/>
      <c r="C20" s="8"/>
      <c r="D20" s="8" t="s">
        <v>254</v>
      </c>
      <c r="E20" s="8"/>
      <c r="F20" s="19"/>
      <c r="G20" s="130">
        <f>SUM(G15:G19)</f>
        <v>8102</v>
      </c>
      <c r="H20" s="19"/>
      <c r="I20" s="142">
        <v>2000</v>
      </c>
      <c r="J20" s="19"/>
      <c r="K20" s="249">
        <f>SUM(K14:K19)</f>
        <v>6102</v>
      </c>
      <c r="L20" s="41"/>
      <c r="M20" s="116">
        <v>6102</v>
      </c>
      <c r="N20" s="8"/>
      <c r="O20" s="44"/>
    </row>
    <row r="21" spans="2:16" ht="15" customHeight="1" x14ac:dyDescent="0.55000000000000004">
      <c r="B21" s="8" t="s">
        <v>267</v>
      </c>
      <c r="C21" s="8"/>
      <c r="D21" s="8"/>
      <c r="E21" s="8"/>
      <c r="F21" s="8"/>
      <c r="G21" s="19"/>
      <c r="H21" s="10"/>
      <c r="I21" s="217"/>
      <c r="J21" s="217"/>
      <c r="K21" s="217"/>
      <c r="L21" s="10"/>
      <c r="M21" s="131"/>
      <c r="N21" s="8"/>
      <c r="O21" s="131"/>
    </row>
    <row r="22" spans="2:16" ht="15" customHeight="1" x14ac:dyDescent="0.55000000000000004">
      <c r="B22" s="132" t="s">
        <v>5</v>
      </c>
      <c r="C22" s="132"/>
      <c r="D22" s="132"/>
      <c r="E22" s="132"/>
      <c r="F22" s="132" t="s">
        <v>1</v>
      </c>
      <c r="G22" s="19"/>
      <c r="H22" s="10"/>
      <c r="I22" s="132" t="s">
        <v>6</v>
      </c>
      <c r="J22" s="132"/>
      <c r="K22" s="250" t="s">
        <v>123</v>
      </c>
      <c r="L22" s="133"/>
      <c r="M22" s="131"/>
      <c r="N22" s="8"/>
      <c r="O22" s="131"/>
    </row>
    <row r="23" spans="2:16" ht="15" customHeight="1" x14ac:dyDescent="0.55000000000000004">
      <c r="B23" s="134"/>
      <c r="C23" s="132"/>
      <c r="D23" s="17"/>
      <c r="E23" s="132"/>
      <c r="F23" s="19" t="s">
        <v>268</v>
      </c>
      <c r="G23" s="19"/>
      <c r="H23" s="10"/>
      <c r="I23" s="19"/>
      <c r="J23" s="19"/>
      <c r="K23" s="143">
        <v>2200</v>
      </c>
      <c r="L23" s="133"/>
      <c r="M23" s="131"/>
      <c r="N23" s="8"/>
      <c r="O23" s="131"/>
    </row>
    <row r="24" spans="2:16" ht="15" customHeight="1" x14ac:dyDescent="0.55000000000000004">
      <c r="B24" s="134"/>
      <c r="C24" s="132"/>
      <c r="D24" s="17"/>
      <c r="E24" s="132"/>
      <c r="F24" s="19"/>
      <c r="G24" s="19"/>
      <c r="H24" s="10"/>
      <c r="I24" s="19"/>
      <c r="J24" s="19"/>
      <c r="K24" s="143"/>
      <c r="L24" s="133"/>
      <c r="M24" s="131"/>
      <c r="N24" s="8"/>
      <c r="O24" s="131"/>
    </row>
    <row r="25" spans="2:16" ht="15" customHeight="1" x14ac:dyDescent="0.4">
      <c r="B25" s="13" t="s">
        <v>269</v>
      </c>
      <c r="C25" s="13"/>
      <c r="D25" s="8"/>
      <c r="E25" s="8"/>
      <c r="F25" s="8"/>
      <c r="G25" s="8"/>
      <c r="H25" s="8"/>
      <c r="I25" s="8"/>
      <c r="J25" s="8"/>
      <c r="K25" s="8"/>
      <c r="L25" s="8"/>
      <c r="M25" s="15"/>
      <c r="N25" s="8"/>
      <c r="O25" s="96">
        <v>8302</v>
      </c>
      <c r="P25" s="135"/>
    </row>
    <row r="26" spans="2:16" ht="15" customHeight="1" x14ac:dyDescent="0.4">
      <c r="B26" s="13"/>
      <c r="C26" s="13"/>
      <c r="D26" s="8"/>
      <c r="E26" s="8"/>
      <c r="F26" s="8"/>
      <c r="G26" s="8"/>
      <c r="H26" s="8"/>
      <c r="I26" s="8"/>
      <c r="J26" s="8"/>
      <c r="K26" s="8"/>
      <c r="L26" s="8"/>
      <c r="M26" s="15"/>
      <c r="N26" s="8"/>
      <c r="O26" s="15"/>
    </row>
    <row r="27" spans="2:16" ht="15" customHeight="1" x14ac:dyDescent="0.4">
      <c r="B27" s="13" t="s">
        <v>255</v>
      </c>
      <c r="C27" s="13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39">
        <f>SUM(O12:O25)</f>
        <v>20392</v>
      </c>
      <c r="P27" s="135"/>
    </row>
    <row r="28" spans="2:16" ht="13.5" customHeight="1" x14ac:dyDescent="0.4">
      <c r="B28" s="13"/>
      <c r="C28" s="13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44"/>
    </row>
    <row r="29" spans="2:16" ht="15" customHeight="1" x14ac:dyDescent="0.4">
      <c r="B29" s="8" t="s">
        <v>256</v>
      </c>
      <c r="C29" s="8"/>
      <c r="D29" s="8" t="s">
        <v>270</v>
      </c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</row>
    <row r="30" spans="2:16" ht="15" customHeight="1" x14ac:dyDescent="0.4">
      <c r="B30" s="20" t="s">
        <v>5</v>
      </c>
      <c r="C30" s="19"/>
      <c r="D30" s="20" t="s">
        <v>257</v>
      </c>
      <c r="E30" s="19"/>
      <c r="F30" s="22"/>
      <c r="G30" s="22" t="s">
        <v>258</v>
      </c>
      <c r="H30" s="22"/>
      <c r="I30" s="22"/>
      <c r="J30" s="22"/>
      <c r="K30" s="22"/>
      <c r="L30" s="8"/>
      <c r="M30" s="20" t="s">
        <v>123</v>
      </c>
      <c r="N30" s="19"/>
      <c r="O30" s="19"/>
    </row>
    <row r="31" spans="2:16" ht="15" customHeight="1" x14ac:dyDescent="0.4">
      <c r="B31" s="117" t="s">
        <v>271</v>
      </c>
      <c r="C31" s="19"/>
      <c r="D31" s="20"/>
      <c r="E31" s="19"/>
      <c r="F31" s="22" t="s">
        <v>272</v>
      </c>
      <c r="G31" s="22"/>
      <c r="H31" s="22"/>
      <c r="I31" s="22"/>
      <c r="J31" s="22"/>
      <c r="K31" s="22"/>
      <c r="L31" s="8"/>
      <c r="M31" s="42">
        <v>300</v>
      </c>
      <c r="N31" s="19"/>
      <c r="O31" s="19"/>
    </row>
    <row r="32" spans="2:16" ht="15" customHeight="1" x14ac:dyDescent="0.4">
      <c r="B32" s="117" t="s">
        <v>273</v>
      </c>
      <c r="C32" s="19"/>
      <c r="D32" s="20"/>
      <c r="E32" s="19"/>
      <c r="F32" s="121" t="s">
        <v>274</v>
      </c>
      <c r="G32" s="22"/>
      <c r="H32" s="22"/>
      <c r="I32" s="22"/>
      <c r="J32" s="22"/>
      <c r="K32" s="22"/>
      <c r="L32" s="8"/>
      <c r="M32" s="42">
        <v>540</v>
      </c>
      <c r="N32" s="19"/>
      <c r="O32" s="19"/>
    </row>
    <row r="33" spans="2:18" ht="15" customHeight="1" x14ac:dyDescent="0.4">
      <c r="B33" s="117" t="s">
        <v>275</v>
      </c>
      <c r="C33" s="118"/>
      <c r="D33" s="122"/>
      <c r="E33" s="120"/>
      <c r="F33" s="121" t="s">
        <v>276</v>
      </c>
      <c r="G33" s="22"/>
      <c r="H33" s="22"/>
      <c r="I33" s="22"/>
      <c r="J33" s="22"/>
      <c r="K33" s="22"/>
      <c r="L33" s="8"/>
      <c r="M33" s="88">
        <v>500</v>
      </c>
      <c r="N33" s="10"/>
      <c r="O33" s="10"/>
    </row>
    <row r="34" spans="2:18" ht="15" customHeight="1" x14ac:dyDescent="0.4">
      <c r="B34" s="117" t="s">
        <v>277</v>
      </c>
      <c r="C34" s="118"/>
      <c r="D34" s="122"/>
      <c r="E34" s="120"/>
      <c r="F34" s="121" t="s">
        <v>278</v>
      </c>
      <c r="G34" s="22"/>
      <c r="H34" s="22"/>
      <c r="I34" s="22"/>
      <c r="J34" s="22"/>
      <c r="K34" s="22"/>
      <c r="L34" s="8"/>
      <c r="M34" s="88">
        <v>122</v>
      </c>
      <c r="N34" s="10"/>
      <c r="O34" s="10"/>
    </row>
    <row r="35" spans="2:18" ht="15" customHeight="1" x14ac:dyDescent="0.4">
      <c r="B35" s="117" t="s">
        <v>279</v>
      </c>
      <c r="C35" s="118"/>
      <c r="D35" s="122"/>
      <c r="E35" s="120"/>
      <c r="F35" s="121" t="s">
        <v>280</v>
      </c>
      <c r="G35" s="22"/>
      <c r="H35" s="22"/>
      <c r="I35" s="22"/>
      <c r="J35" s="22"/>
      <c r="K35" s="22"/>
      <c r="L35" s="8"/>
      <c r="M35" s="88">
        <v>2457.4499999999998</v>
      </c>
      <c r="N35" s="10"/>
      <c r="O35" s="10"/>
    </row>
    <row r="36" spans="2:18" ht="15" customHeight="1" x14ac:dyDescent="0.4">
      <c r="B36" s="117" t="s">
        <v>281</v>
      </c>
      <c r="D36" s="122"/>
      <c r="F36" s="121" t="s">
        <v>282</v>
      </c>
      <c r="G36" s="22"/>
      <c r="H36" s="22"/>
      <c r="I36" s="22"/>
      <c r="J36" s="22"/>
      <c r="K36" s="22"/>
      <c r="L36" s="8"/>
      <c r="M36" s="88">
        <v>3500</v>
      </c>
      <c r="N36" s="10"/>
      <c r="O36" s="10"/>
    </row>
    <row r="37" spans="2:18" ht="15" customHeight="1" x14ac:dyDescent="0.4">
      <c r="B37" s="124" t="s">
        <v>283</v>
      </c>
      <c r="C37" s="124"/>
      <c r="D37" s="120"/>
      <c r="E37" s="120"/>
      <c r="F37" s="8"/>
      <c r="G37" s="8"/>
      <c r="H37" s="8"/>
      <c r="I37" s="8"/>
      <c r="J37" s="8"/>
      <c r="K37" s="8"/>
      <c r="L37" s="8"/>
      <c r="M37" s="10"/>
      <c r="N37" s="10"/>
      <c r="O37" s="96">
        <f>SUM(M31:M36)</f>
        <v>7419.45</v>
      </c>
      <c r="R37" s="135"/>
    </row>
    <row r="38" spans="2:18" ht="13.5" customHeight="1" x14ac:dyDescent="0.4"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44"/>
      <c r="N38" s="44"/>
      <c r="O38" s="44"/>
    </row>
    <row r="39" spans="2:18" ht="13.5" customHeight="1" thickBot="1" x14ac:dyDescent="0.45">
      <c r="B39" s="8"/>
      <c r="C39" s="8"/>
      <c r="D39" s="13" t="s">
        <v>284</v>
      </c>
      <c r="E39" s="13"/>
      <c r="F39" s="8"/>
      <c r="G39" s="8"/>
      <c r="H39" s="8"/>
      <c r="I39" s="8"/>
      <c r="J39" s="8"/>
      <c r="K39" s="8"/>
      <c r="L39" s="8"/>
      <c r="M39" s="8"/>
      <c r="N39" s="8"/>
      <c r="O39" s="46">
        <v>12972.55</v>
      </c>
      <c r="P39" s="135"/>
      <c r="Q39" s="135"/>
    </row>
    <row r="40" spans="2:18" ht="13.5" customHeight="1" thickTop="1" x14ac:dyDescent="0.4">
      <c r="B40" s="8"/>
      <c r="C40" s="8"/>
      <c r="D40" s="13"/>
      <c r="E40" s="13"/>
      <c r="F40" s="8"/>
      <c r="G40" s="8"/>
      <c r="H40" s="8"/>
      <c r="I40" s="8"/>
      <c r="J40" s="8"/>
      <c r="K40" s="8"/>
      <c r="L40" s="8"/>
      <c r="M40" s="22"/>
      <c r="N40" s="8"/>
      <c r="O40" s="15"/>
    </row>
    <row r="41" spans="2:18" ht="13.5" customHeight="1" x14ac:dyDescent="0.4">
      <c r="B41" s="8"/>
      <c r="C41" s="8"/>
      <c r="D41" s="125" t="s">
        <v>285</v>
      </c>
      <c r="E41" s="126"/>
      <c r="F41" s="126"/>
      <c r="G41" s="126"/>
      <c r="H41" s="126"/>
      <c r="I41" s="126"/>
      <c r="J41" s="126"/>
      <c r="K41" s="126"/>
      <c r="L41" s="126"/>
      <c r="M41" s="127">
        <v>47848.34</v>
      </c>
      <c r="N41" s="8"/>
      <c r="O41" s="8"/>
      <c r="Q41" s="135"/>
    </row>
    <row r="42" spans="2:18" ht="13.5" customHeight="1" x14ac:dyDescent="0.4">
      <c r="B42" s="8"/>
      <c r="C42" s="8"/>
      <c r="D42" s="128" t="s">
        <v>259</v>
      </c>
      <c r="E42" s="8"/>
      <c r="F42" s="8" t="s">
        <v>260</v>
      </c>
      <c r="G42" s="8"/>
      <c r="H42" s="8"/>
      <c r="I42" s="8"/>
      <c r="J42" s="8"/>
      <c r="K42" s="88"/>
      <c r="L42" s="13"/>
      <c r="M42" s="127">
        <v>4.12</v>
      </c>
      <c r="N42" s="8"/>
      <c r="O42" s="8"/>
    </row>
    <row r="43" spans="2:18" ht="13.5" customHeight="1" x14ac:dyDescent="0.4">
      <c r="B43" s="8"/>
      <c r="C43" s="8"/>
      <c r="D43" s="129" t="s">
        <v>286</v>
      </c>
      <c r="E43" s="119"/>
      <c r="F43" s="119"/>
      <c r="G43" s="119"/>
      <c r="H43" s="119"/>
      <c r="I43" s="119"/>
      <c r="J43" s="119"/>
      <c r="K43" s="119"/>
      <c r="L43" s="119"/>
      <c r="M43" s="127">
        <f>SUM(M41:M42)</f>
        <v>47852.46</v>
      </c>
      <c r="N43" s="8"/>
      <c r="O43" s="8"/>
    </row>
    <row r="44" spans="2:18" ht="13.5" customHeight="1" x14ac:dyDescent="0.4">
      <c r="B44" s="8"/>
      <c r="C44" s="8"/>
      <c r="D44" s="13"/>
      <c r="E44" s="13"/>
      <c r="F44" s="13"/>
      <c r="G44" s="13"/>
      <c r="H44" s="13"/>
      <c r="I44" s="13"/>
      <c r="J44" s="13"/>
      <c r="K44" s="13"/>
      <c r="L44" s="13"/>
      <c r="M44" s="15"/>
      <c r="N44" s="8"/>
      <c r="O44" s="8"/>
    </row>
    <row r="45" spans="2:18" ht="13.5" customHeight="1" x14ac:dyDescent="0.4">
      <c r="B45" s="8"/>
      <c r="C45" s="8"/>
      <c r="D45" s="13"/>
      <c r="E45" s="13"/>
      <c r="F45" s="13"/>
      <c r="G45" s="13"/>
      <c r="H45" s="13"/>
      <c r="I45" s="13"/>
      <c r="J45" s="13"/>
      <c r="K45" s="13"/>
      <c r="L45" s="13"/>
      <c r="M45" s="15"/>
      <c r="N45" s="8"/>
      <c r="O45" s="8"/>
    </row>
    <row r="46" spans="2:18" ht="13.5" customHeight="1" x14ac:dyDescent="0.4">
      <c r="B46" s="8" t="s">
        <v>287</v>
      </c>
      <c r="C46" s="8"/>
      <c r="D46" s="8"/>
      <c r="E46" s="8"/>
      <c r="F46" s="8" t="s">
        <v>288</v>
      </c>
      <c r="G46" s="8"/>
      <c r="H46" s="8"/>
      <c r="I46" s="8" t="s">
        <v>289</v>
      </c>
      <c r="J46" s="8"/>
      <c r="K46" s="8"/>
      <c r="L46" s="8"/>
      <c r="M46" s="8" t="s">
        <v>261</v>
      </c>
      <c r="N46" s="8"/>
      <c r="O46" s="8"/>
    </row>
    <row r="47" spans="2:18" ht="13.5" customHeight="1" x14ac:dyDescent="0.4"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</row>
    <row r="48" spans="2:18" ht="13.5" customHeight="1" x14ac:dyDescent="0.4"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</row>
    <row r="49" spans="2:15" ht="13.5" customHeight="1" x14ac:dyDescent="0.4">
      <c r="B49" s="8" t="s">
        <v>245</v>
      </c>
      <c r="C49" s="8"/>
      <c r="D49" s="8"/>
      <c r="E49" s="8"/>
      <c r="F49" s="8" t="s">
        <v>14</v>
      </c>
      <c r="G49" s="8"/>
      <c r="H49" s="8"/>
      <c r="I49" s="8" t="s">
        <v>17</v>
      </c>
      <c r="J49" s="8"/>
      <c r="K49" s="8"/>
      <c r="L49" s="8"/>
      <c r="M49" s="8" t="s">
        <v>8</v>
      </c>
      <c r="N49" s="8"/>
      <c r="O49" s="8"/>
    </row>
    <row r="50" spans="2:15" ht="13.5" customHeight="1" x14ac:dyDescent="0.4">
      <c r="B50" s="8" t="s">
        <v>291</v>
      </c>
      <c r="C50" s="8"/>
      <c r="D50" s="8"/>
      <c r="E50" s="8"/>
      <c r="F50" s="8" t="s">
        <v>15</v>
      </c>
      <c r="G50" s="8"/>
      <c r="H50" s="8"/>
      <c r="I50" s="19" t="s">
        <v>292</v>
      </c>
      <c r="J50" s="8"/>
      <c r="K50" s="8"/>
      <c r="L50" s="8"/>
      <c r="M50" s="8" t="s">
        <v>262</v>
      </c>
      <c r="N50" s="8"/>
      <c r="O50" s="8"/>
    </row>
    <row r="51" spans="2:15" ht="13.5" customHeight="1" x14ac:dyDescent="0.4"/>
    <row r="52" spans="2:15" ht="13.5" customHeight="1" x14ac:dyDescent="0.4"/>
    <row r="53" spans="2:15" ht="13.5" customHeight="1" x14ac:dyDescent="0.4"/>
    <row r="54" spans="2:15" ht="13.5" customHeight="1" x14ac:dyDescent="0.4"/>
    <row r="55" spans="2:15" ht="13.5" customHeight="1" x14ac:dyDescent="0.4"/>
    <row r="56" spans="2:15" ht="13.5" customHeight="1" x14ac:dyDescent="0.4"/>
  </sheetData>
  <pageMargins left="0.11811023622047245" right="0.70866141732283472" top="0.74803149606299213" bottom="0.74803149606299213" header="0.31496062992125984" footer="0.31496062992125984"/>
  <pageSetup scale="90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N49"/>
  <sheetViews>
    <sheetView workbookViewId="0">
      <selection activeCell="A4" sqref="A4:N4"/>
    </sheetView>
  </sheetViews>
  <sheetFormatPr defaultRowHeight="14.6" x14ac:dyDescent="0.4"/>
  <cols>
    <col min="1" max="1" width="7.69140625" customWidth="1"/>
    <col min="2" max="3" width="0.53515625" customWidth="1"/>
    <col min="4" max="4" width="8" customWidth="1"/>
    <col min="5" max="5" width="0.69140625" customWidth="1"/>
    <col min="6" max="6" width="18" customWidth="1"/>
    <col min="7" max="7" width="13.3046875" customWidth="1"/>
    <col min="8" max="8" width="3.3046875" customWidth="1"/>
    <col min="9" max="9" width="10.07421875" customWidth="1"/>
    <col min="10" max="10" width="10.3046875" bestFit="1" customWidth="1"/>
    <col min="11" max="11" width="2.3046875" customWidth="1"/>
    <col min="12" max="12" width="11.3046875" customWidth="1"/>
    <col min="13" max="13" width="10.3046875" bestFit="1" customWidth="1"/>
  </cols>
  <sheetData>
    <row r="2" spans="1:14" ht="14.15" customHeight="1" x14ac:dyDescent="0.4">
      <c r="A2" s="8"/>
      <c r="B2" s="8"/>
      <c r="C2" s="8"/>
      <c r="D2" s="8"/>
      <c r="E2" s="8"/>
      <c r="F2" s="8"/>
      <c r="G2" s="8" t="s">
        <v>0</v>
      </c>
      <c r="H2" s="8"/>
      <c r="I2" s="8"/>
      <c r="J2" s="8"/>
      <c r="K2" s="8"/>
      <c r="L2" s="8"/>
    </row>
    <row r="3" spans="1:14" ht="14.15" customHeight="1" x14ac:dyDescent="0.4">
      <c r="A3" s="462" t="s">
        <v>18</v>
      </c>
      <c r="B3" s="462"/>
      <c r="C3" s="462"/>
      <c r="D3" s="462"/>
      <c r="E3" s="462"/>
      <c r="F3" s="462"/>
      <c r="G3" s="462"/>
      <c r="H3" s="462"/>
      <c r="I3" s="462"/>
      <c r="J3" s="462"/>
      <c r="K3" s="462"/>
      <c r="L3" s="462"/>
      <c r="M3" s="462"/>
      <c r="N3" s="462"/>
    </row>
    <row r="4" spans="1:14" ht="14.15" customHeight="1" x14ac:dyDescent="0.4">
      <c r="A4" s="463" t="s">
        <v>242</v>
      </c>
      <c r="B4" s="463"/>
      <c r="C4" s="463"/>
      <c r="D4" s="463"/>
      <c r="E4" s="463"/>
      <c r="F4" s="463"/>
      <c r="G4" s="463"/>
      <c r="H4" s="463"/>
      <c r="I4" s="463"/>
      <c r="J4" s="463"/>
      <c r="K4" s="463"/>
      <c r="L4" s="463"/>
      <c r="M4" s="463"/>
      <c r="N4" s="463"/>
    </row>
    <row r="5" spans="1:14" ht="14.15" customHeight="1" x14ac:dyDescent="0.4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</row>
    <row r="6" spans="1:14" ht="14.15" customHeight="1" x14ac:dyDescent="0.4">
      <c r="A6" s="8"/>
      <c r="B6" s="8"/>
      <c r="C6" s="8"/>
      <c r="D6" s="8"/>
      <c r="E6" s="8"/>
      <c r="F6" s="8"/>
      <c r="G6" s="19" t="s">
        <v>12</v>
      </c>
      <c r="H6" s="8"/>
      <c r="I6" s="8"/>
      <c r="J6" s="8"/>
      <c r="K6" s="8"/>
      <c r="L6" s="8" t="s">
        <v>63</v>
      </c>
      <c r="M6" s="19" t="s">
        <v>65</v>
      </c>
    </row>
    <row r="7" spans="1:14" ht="14.15" customHeight="1" x14ac:dyDescent="0.4">
      <c r="A7" s="20" t="s">
        <v>5</v>
      </c>
      <c r="B7" s="19"/>
      <c r="C7" s="19"/>
      <c r="D7" s="20" t="s">
        <v>6</v>
      </c>
      <c r="E7" s="8"/>
      <c r="F7" s="20" t="s">
        <v>1</v>
      </c>
      <c r="G7" s="20" t="s">
        <v>3</v>
      </c>
      <c r="H7" s="8"/>
      <c r="I7" s="20" t="s">
        <v>46</v>
      </c>
      <c r="J7" s="20" t="s">
        <v>2</v>
      </c>
      <c r="K7" s="8"/>
      <c r="L7" s="53" t="s">
        <v>64</v>
      </c>
      <c r="M7" s="20" t="s">
        <v>2</v>
      </c>
      <c r="N7" s="20" t="s">
        <v>5</v>
      </c>
    </row>
    <row r="8" spans="1:14" ht="14.15" customHeight="1" x14ac:dyDescent="0.4">
      <c r="A8" s="9" t="s">
        <v>156</v>
      </c>
      <c r="B8" s="19"/>
      <c r="C8" s="19"/>
      <c r="D8" s="19"/>
      <c r="E8" s="8"/>
      <c r="F8" s="17"/>
      <c r="G8" s="21"/>
      <c r="H8" s="8"/>
      <c r="I8" s="19"/>
      <c r="J8" s="21"/>
      <c r="K8" s="8"/>
      <c r="L8" s="19"/>
    </row>
    <row r="9" spans="1:14" ht="14.15" customHeight="1" x14ac:dyDescent="0.4">
      <c r="A9" s="9" t="s">
        <v>154</v>
      </c>
      <c r="B9" s="11"/>
      <c r="C9" s="11"/>
      <c r="D9" s="19">
        <v>2563</v>
      </c>
      <c r="E9" s="11"/>
      <c r="F9" s="12" t="s">
        <v>173</v>
      </c>
      <c r="G9" s="21">
        <v>100</v>
      </c>
      <c r="H9" s="8"/>
      <c r="I9" s="19"/>
      <c r="J9" s="21"/>
      <c r="K9" s="8"/>
      <c r="L9" s="19"/>
      <c r="M9" s="8"/>
    </row>
    <row r="10" spans="1:14" ht="14.15" customHeight="1" x14ac:dyDescent="0.4">
      <c r="A10" s="9" t="s">
        <v>154</v>
      </c>
      <c r="B10" s="19"/>
      <c r="C10" s="19"/>
      <c r="D10" s="19">
        <v>2564</v>
      </c>
      <c r="E10" s="8"/>
      <c r="F10" s="17" t="s">
        <v>33</v>
      </c>
      <c r="G10" s="21">
        <v>100</v>
      </c>
      <c r="H10" s="8"/>
      <c r="I10" s="19"/>
      <c r="J10" s="21"/>
      <c r="K10" s="8"/>
      <c r="L10" s="19"/>
      <c r="M10" s="8"/>
    </row>
    <row r="11" spans="1:14" ht="14.15" customHeight="1" x14ac:dyDescent="0.4">
      <c r="A11" s="9" t="s">
        <v>154</v>
      </c>
      <c r="B11" s="19"/>
      <c r="C11" s="19"/>
      <c r="D11" s="19">
        <v>2565</v>
      </c>
      <c r="E11" s="8"/>
      <c r="F11" s="17" t="s">
        <v>41</v>
      </c>
      <c r="G11" s="27">
        <v>100</v>
      </c>
      <c r="H11" s="8"/>
      <c r="I11" s="19"/>
      <c r="J11" s="21"/>
      <c r="K11" s="8"/>
      <c r="L11" s="19"/>
    </row>
    <row r="12" spans="1:14" ht="14.15" customHeight="1" x14ac:dyDescent="0.4">
      <c r="A12" s="9" t="s">
        <v>154</v>
      </c>
      <c r="B12" s="19"/>
      <c r="C12" s="19"/>
      <c r="D12" s="19">
        <v>2566</v>
      </c>
      <c r="E12" s="8"/>
      <c r="F12" s="17" t="s">
        <v>155</v>
      </c>
      <c r="G12" s="27">
        <v>200</v>
      </c>
      <c r="H12" s="8"/>
      <c r="I12" s="19"/>
      <c r="J12" s="21"/>
      <c r="K12" s="8"/>
      <c r="L12" s="19"/>
    </row>
    <row r="13" spans="1:14" ht="14.15" customHeight="1" x14ac:dyDescent="0.4">
      <c r="A13" s="9" t="s">
        <v>154</v>
      </c>
      <c r="B13" s="19"/>
      <c r="C13" s="19"/>
      <c r="D13" s="19">
        <v>2567</v>
      </c>
      <c r="E13" s="8"/>
      <c r="F13" s="68" t="s">
        <v>232</v>
      </c>
      <c r="G13" s="97">
        <v>300</v>
      </c>
      <c r="H13" s="8"/>
      <c r="I13" s="19"/>
      <c r="J13" s="21"/>
      <c r="K13" s="8"/>
      <c r="L13" s="21"/>
      <c r="M13" s="15"/>
      <c r="N13" s="13"/>
    </row>
    <row r="14" spans="1:14" ht="14.15" customHeight="1" x14ac:dyDescent="0.4">
      <c r="A14" s="9" t="s">
        <v>154</v>
      </c>
      <c r="B14" s="19"/>
      <c r="C14" s="19"/>
      <c r="D14" s="19">
        <v>2568</v>
      </c>
      <c r="E14" s="8"/>
      <c r="F14" s="68" t="s">
        <v>17</v>
      </c>
      <c r="G14" s="95">
        <v>500</v>
      </c>
      <c r="H14" s="8"/>
      <c r="I14" s="19"/>
      <c r="J14" s="21">
        <f>SUM(G9:G14)</f>
        <v>1300</v>
      </c>
      <c r="K14" s="8"/>
      <c r="L14" s="21">
        <v>200</v>
      </c>
      <c r="M14" s="15">
        <v>1500</v>
      </c>
      <c r="N14" s="13" t="s">
        <v>234</v>
      </c>
    </row>
    <row r="15" spans="1:14" ht="14.15" customHeight="1" x14ac:dyDescent="0.4">
      <c r="A15" s="9">
        <v>14</v>
      </c>
      <c r="B15" s="19"/>
      <c r="C15" s="19"/>
      <c r="D15" s="19">
        <v>2569</v>
      </c>
      <c r="E15" s="8"/>
      <c r="F15" s="17" t="s">
        <v>233</v>
      </c>
      <c r="G15" s="27">
        <v>100</v>
      </c>
      <c r="H15" s="8"/>
      <c r="I15" s="19"/>
      <c r="J15" s="21"/>
      <c r="K15" s="8"/>
      <c r="L15" s="21"/>
    </row>
    <row r="16" spans="1:14" ht="14.15" customHeight="1" x14ac:dyDescent="0.4">
      <c r="A16" s="9">
        <v>14</v>
      </c>
      <c r="B16" s="19"/>
      <c r="C16" s="19"/>
      <c r="D16" s="19">
        <v>2570</v>
      </c>
      <c r="E16" s="8"/>
      <c r="F16" s="17" t="s">
        <v>74</v>
      </c>
      <c r="G16" s="97">
        <v>100</v>
      </c>
      <c r="H16" s="8"/>
      <c r="I16" s="19"/>
      <c r="J16" s="21"/>
      <c r="K16" s="8"/>
      <c r="L16" s="21"/>
    </row>
    <row r="17" spans="1:14" ht="14.15" customHeight="1" x14ac:dyDescent="0.4">
      <c r="A17" s="9">
        <v>14</v>
      </c>
      <c r="B17" s="19"/>
      <c r="C17" s="19"/>
      <c r="D17" s="19">
        <v>2572</v>
      </c>
      <c r="E17" s="8"/>
      <c r="F17" s="17" t="s">
        <v>44</v>
      </c>
      <c r="G17" s="97">
        <v>100</v>
      </c>
      <c r="H17" s="8"/>
      <c r="I17" s="19"/>
      <c r="J17" s="21"/>
      <c r="K17" s="8"/>
      <c r="L17" s="21"/>
    </row>
    <row r="18" spans="1:14" ht="14.15" customHeight="1" x14ac:dyDescent="0.4">
      <c r="A18" s="9">
        <v>14</v>
      </c>
      <c r="B18" s="19"/>
      <c r="C18" s="19"/>
      <c r="D18" s="19">
        <v>2573</v>
      </c>
      <c r="E18" s="8"/>
      <c r="F18" s="17" t="s">
        <v>33</v>
      </c>
      <c r="G18" s="97">
        <v>100</v>
      </c>
      <c r="H18" s="8"/>
      <c r="I18" s="19"/>
      <c r="J18" s="21"/>
      <c r="K18" s="8"/>
      <c r="L18" s="21"/>
    </row>
    <row r="19" spans="1:14" ht="14.15" customHeight="1" x14ac:dyDescent="0.4">
      <c r="A19" s="9">
        <v>14</v>
      </c>
      <c r="B19" s="8"/>
      <c r="C19" s="8"/>
      <c r="D19" s="19">
        <v>2574</v>
      </c>
      <c r="E19" s="8"/>
      <c r="F19" s="8" t="s">
        <v>23</v>
      </c>
      <c r="G19" s="41">
        <v>500</v>
      </c>
      <c r="H19" s="10"/>
      <c r="I19" s="14"/>
      <c r="J19" s="14"/>
      <c r="K19" s="11"/>
      <c r="L19" s="14"/>
      <c r="M19" s="15"/>
      <c r="N19" s="13"/>
    </row>
    <row r="20" spans="1:14" ht="14.15" customHeight="1" x14ac:dyDescent="0.4">
      <c r="A20" s="9">
        <v>14</v>
      </c>
      <c r="B20" s="8"/>
      <c r="C20" s="8"/>
      <c r="D20" s="19">
        <v>2575</v>
      </c>
      <c r="E20" s="8"/>
      <c r="F20" s="8" t="s">
        <v>41</v>
      </c>
      <c r="G20" s="41">
        <v>100</v>
      </c>
      <c r="H20" s="10"/>
      <c r="I20" s="14"/>
      <c r="J20" s="14"/>
      <c r="K20" s="11"/>
      <c r="L20" s="14"/>
      <c r="M20" s="15"/>
      <c r="N20" s="13"/>
    </row>
    <row r="21" spans="1:14" ht="14.15" customHeight="1" x14ac:dyDescent="0.4">
      <c r="A21" s="9">
        <v>14</v>
      </c>
      <c r="B21" s="8"/>
      <c r="C21" s="8"/>
      <c r="D21" s="19">
        <v>2576</v>
      </c>
      <c r="E21" s="8"/>
      <c r="F21" s="8" t="s">
        <v>166</v>
      </c>
      <c r="G21" s="41">
        <v>100</v>
      </c>
      <c r="H21" s="10"/>
      <c r="I21" s="14"/>
      <c r="J21" s="14"/>
      <c r="K21" s="11"/>
      <c r="L21" s="14"/>
    </row>
    <row r="22" spans="1:14" ht="14.15" customHeight="1" x14ac:dyDescent="0.4">
      <c r="A22" s="9">
        <v>14</v>
      </c>
      <c r="B22" s="8"/>
      <c r="C22" s="8"/>
      <c r="D22" s="19">
        <v>2577</v>
      </c>
      <c r="E22" s="8"/>
      <c r="F22" s="8" t="s">
        <v>43</v>
      </c>
      <c r="G22" s="48">
        <v>1000</v>
      </c>
      <c r="H22" s="10"/>
      <c r="I22" s="14"/>
      <c r="J22" s="14"/>
      <c r="K22" s="11"/>
      <c r="L22" s="14"/>
      <c r="M22" s="15"/>
      <c r="N22" s="13"/>
    </row>
    <row r="23" spans="1:14" ht="14.15" customHeight="1" x14ac:dyDescent="0.4">
      <c r="A23" s="9">
        <v>14</v>
      </c>
      <c r="B23" s="8"/>
      <c r="C23" s="8"/>
      <c r="D23" s="19">
        <v>2578</v>
      </c>
      <c r="E23" s="8"/>
      <c r="F23" s="8" t="s">
        <v>157</v>
      </c>
      <c r="G23" s="43">
        <v>100</v>
      </c>
      <c r="H23" s="10"/>
      <c r="I23" s="14">
        <v>1100</v>
      </c>
      <c r="J23" s="14"/>
      <c r="K23" s="11"/>
      <c r="L23" s="14"/>
      <c r="M23" s="15">
        <v>1000</v>
      </c>
      <c r="N23" s="13" t="s">
        <v>152</v>
      </c>
    </row>
    <row r="24" spans="1:14" ht="14.15" customHeight="1" x14ac:dyDescent="0.4">
      <c r="A24" s="9">
        <v>21</v>
      </c>
      <c r="B24" s="8"/>
      <c r="C24" s="8"/>
      <c r="D24" s="19">
        <v>2579</v>
      </c>
      <c r="E24" s="8"/>
      <c r="F24" s="8" t="s">
        <v>235</v>
      </c>
      <c r="G24" s="88">
        <v>100</v>
      </c>
      <c r="H24" s="10"/>
      <c r="I24" s="14">
        <v>100</v>
      </c>
      <c r="J24" s="14"/>
      <c r="K24" s="11"/>
      <c r="L24" s="14">
        <v>1000</v>
      </c>
      <c r="M24" s="15">
        <v>1000</v>
      </c>
      <c r="N24" s="13" t="s">
        <v>236</v>
      </c>
    </row>
    <row r="25" spans="1:14" ht="14.15" customHeight="1" x14ac:dyDescent="0.4">
      <c r="A25" s="9">
        <v>28</v>
      </c>
      <c r="B25" s="19"/>
      <c r="C25" s="19"/>
      <c r="D25" s="19">
        <v>2571</v>
      </c>
      <c r="E25" s="8"/>
      <c r="F25" s="17" t="s">
        <v>23</v>
      </c>
      <c r="G25" s="97">
        <v>200</v>
      </c>
      <c r="H25" s="10"/>
      <c r="I25" s="14"/>
      <c r="J25" s="14"/>
      <c r="K25" s="11"/>
      <c r="L25" s="12"/>
      <c r="M25" s="15"/>
      <c r="N25" s="13"/>
    </row>
    <row r="26" spans="1:14" ht="14.15" customHeight="1" x14ac:dyDescent="0.4">
      <c r="A26" s="9">
        <v>28</v>
      </c>
      <c r="B26" s="8"/>
      <c r="C26" s="8"/>
      <c r="D26" s="19">
        <v>2580</v>
      </c>
      <c r="E26" s="8"/>
      <c r="F26" s="8" t="s">
        <v>74</v>
      </c>
      <c r="G26" s="10">
        <v>100</v>
      </c>
      <c r="H26" s="10"/>
      <c r="I26" s="14"/>
      <c r="J26" s="14"/>
      <c r="K26" s="11"/>
      <c r="L26" s="12"/>
    </row>
    <row r="27" spans="1:14" ht="14.15" customHeight="1" x14ac:dyDescent="0.4">
      <c r="A27" s="9">
        <v>28</v>
      </c>
      <c r="B27" s="8"/>
      <c r="C27" s="8"/>
      <c r="D27" s="19">
        <v>2581</v>
      </c>
      <c r="E27" s="8"/>
      <c r="F27" s="8" t="s">
        <v>23</v>
      </c>
      <c r="G27" s="10">
        <v>200</v>
      </c>
      <c r="H27" s="10"/>
      <c r="I27" s="14"/>
      <c r="J27" s="14"/>
      <c r="K27" s="11"/>
      <c r="L27" s="12"/>
    </row>
    <row r="28" spans="1:14" ht="14.15" customHeight="1" x14ac:dyDescent="0.4">
      <c r="A28" s="9">
        <v>28</v>
      </c>
      <c r="B28" s="8"/>
      <c r="C28" s="8"/>
      <c r="D28" s="19">
        <v>2582</v>
      </c>
      <c r="E28" s="8"/>
      <c r="F28" s="8" t="s">
        <v>237</v>
      </c>
      <c r="G28" s="41">
        <v>100</v>
      </c>
      <c r="H28" s="10"/>
      <c r="I28" s="14"/>
      <c r="J28" s="14"/>
      <c r="K28" s="11"/>
      <c r="L28" s="14"/>
      <c r="M28" s="15"/>
      <c r="N28" s="13"/>
    </row>
    <row r="29" spans="1:14" ht="14.15" customHeight="1" x14ac:dyDescent="0.4">
      <c r="A29" s="9">
        <v>28</v>
      </c>
      <c r="B29" s="8"/>
      <c r="C29" s="8"/>
      <c r="D29" s="19">
        <v>2583</v>
      </c>
      <c r="E29" s="8"/>
      <c r="F29" s="8" t="s">
        <v>204</v>
      </c>
      <c r="G29" s="10">
        <v>100</v>
      </c>
      <c r="H29" s="10"/>
      <c r="I29" s="14"/>
      <c r="J29" s="14"/>
      <c r="K29" s="11"/>
      <c r="L29" s="12"/>
    </row>
    <row r="30" spans="1:14" ht="14.15" customHeight="1" x14ac:dyDescent="0.4">
      <c r="A30" s="9">
        <v>28</v>
      </c>
      <c r="B30" s="8"/>
      <c r="C30" s="8"/>
      <c r="D30" s="19">
        <v>2584</v>
      </c>
      <c r="E30" s="8"/>
      <c r="F30" s="8" t="s">
        <v>41</v>
      </c>
      <c r="G30" s="10">
        <v>100</v>
      </c>
      <c r="H30" s="10"/>
      <c r="I30" s="14"/>
      <c r="J30" s="14"/>
      <c r="K30" s="11"/>
      <c r="L30" s="12"/>
    </row>
    <row r="31" spans="1:14" ht="14.15" customHeight="1" x14ac:dyDescent="0.4">
      <c r="A31" s="9">
        <v>28</v>
      </c>
      <c r="B31" s="8"/>
      <c r="C31" s="8"/>
      <c r="D31" s="19">
        <v>2585</v>
      </c>
      <c r="E31" s="8"/>
      <c r="F31" s="8" t="s">
        <v>238</v>
      </c>
      <c r="G31" s="10">
        <v>100</v>
      </c>
      <c r="H31" s="10"/>
      <c r="I31" s="14"/>
      <c r="J31" s="14"/>
      <c r="K31" s="11"/>
      <c r="L31" s="12"/>
      <c r="M31" s="15"/>
      <c r="N31" s="13"/>
    </row>
    <row r="32" spans="1:14" ht="14.15" customHeight="1" x14ac:dyDescent="0.4">
      <c r="A32" s="9">
        <v>28</v>
      </c>
      <c r="B32" s="8"/>
      <c r="C32" s="8"/>
      <c r="D32" s="19">
        <v>2586</v>
      </c>
      <c r="E32" s="8"/>
      <c r="F32" s="8" t="s">
        <v>235</v>
      </c>
      <c r="G32" s="43">
        <v>100</v>
      </c>
      <c r="H32" s="10"/>
      <c r="I32" s="16">
        <f>SUM(G25:G32)</f>
        <v>1000</v>
      </c>
      <c r="J32" s="14"/>
      <c r="K32" s="11"/>
      <c r="L32" s="14">
        <v>1000</v>
      </c>
      <c r="M32" s="15">
        <v>1000</v>
      </c>
      <c r="N32" s="13" t="s">
        <v>241</v>
      </c>
    </row>
    <row r="33" spans="1:13" ht="14.15" customHeight="1" x14ac:dyDescent="0.4">
      <c r="A33" s="9"/>
      <c r="B33" s="8"/>
      <c r="C33" s="8"/>
      <c r="D33" s="19"/>
      <c r="E33" s="8"/>
      <c r="F33" s="8"/>
      <c r="G33" s="10"/>
      <c r="H33" s="10"/>
      <c r="I33" s="14">
        <f>SUM(I22:I32)</f>
        <v>2200</v>
      </c>
      <c r="J33" s="14"/>
      <c r="K33" s="11"/>
      <c r="L33" s="12"/>
      <c r="M33" s="15"/>
    </row>
    <row r="34" spans="1:13" ht="14.15" customHeight="1" x14ac:dyDescent="0.4">
      <c r="A34" s="9"/>
      <c r="B34" s="8"/>
      <c r="C34" s="8"/>
      <c r="D34" s="19"/>
      <c r="E34" s="8"/>
      <c r="F34" s="8"/>
      <c r="G34" s="10"/>
      <c r="H34" s="10"/>
      <c r="I34" s="14"/>
      <c r="J34" s="14"/>
      <c r="K34" s="11"/>
      <c r="L34" s="12"/>
      <c r="M34" s="15"/>
    </row>
    <row r="35" spans="1:13" ht="14.15" customHeight="1" x14ac:dyDescent="0.4">
      <c r="A35" s="8"/>
      <c r="B35" s="8"/>
      <c r="C35" s="8"/>
      <c r="D35" s="8" t="s">
        <v>13</v>
      </c>
      <c r="E35" s="8"/>
      <c r="F35" s="8"/>
      <c r="G35" s="8"/>
      <c r="H35" s="8"/>
      <c r="I35" s="8"/>
      <c r="J35" s="8"/>
      <c r="K35" s="8"/>
      <c r="L35" s="8"/>
    </row>
    <row r="36" spans="1:13" ht="14.15" customHeight="1" x14ac:dyDescent="0.4">
      <c r="A36" s="8"/>
      <c r="B36" s="8"/>
      <c r="C36" s="8"/>
      <c r="D36" s="8"/>
      <c r="E36" s="8"/>
      <c r="F36" s="22"/>
      <c r="G36" s="8"/>
      <c r="H36" s="8"/>
      <c r="I36" s="8"/>
      <c r="J36" s="8"/>
      <c r="K36" s="8"/>
      <c r="L36" s="8"/>
    </row>
    <row r="37" spans="1:13" ht="14.15" customHeight="1" x14ac:dyDescent="0.4">
      <c r="A37" s="8"/>
      <c r="B37" s="8"/>
      <c r="C37" s="8"/>
      <c r="D37" s="8"/>
      <c r="E37" s="8"/>
      <c r="F37" s="19"/>
      <c r="G37" s="8"/>
      <c r="H37" s="8"/>
      <c r="I37" s="8"/>
      <c r="J37" s="8"/>
      <c r="K37" s="8"/>
      <c r="L37" s="8"/>
    </row>
    <row r="38" spans="1:13" ht="14.15" customHeight="1" x14ac:dyDescent="0.4">
      <c r="A38" s="20" t="s">
        <v>5</v>
      </c>
      <c r="B38" s="8"/>
      <c r="C38" s="8"/>
      <c r="D38" s="8"/>
      <c r="E38" s="8"/>
      <c r="F38" s="19"/>
      <c r="G38" s="19"/>
      <c r="H38" s="8"/>
      <c r="I38" s="19"/>
      <c r="J38" s="20" t="s">
        <v>2</v>
      </c>
      <c r="K38" s="8"/>
      <c r="L38" s="19"/>
    </row>
    <row r="39" spans="1:13" ht="14.15" customHeight="1" x14ac:dyDescent="0.4">
      <c r="A39" s="24" t="s">
        <v>159</v>
      </c>
      <c r="B39" s="8"/>
      <c r="C39" s="8"/>
      <c r="D39" s="9" t="s">
        <v>154</v>
      </c>
      <c r="E39" s="8"/>
      <c r="F39" s="8" t="s">
        <v>336</v>
      </c>
      <c r="G39" s="10"/>
      <c r="H39" s="8"/>
      <c r="I39" s="8"/>
      <c r="J39" s="10">
        <v>1500</v>
      </c>
      <c r="K39" s="8"/>
      <c r="L39" s="8"/>
    </row>
    <row r="40" spans="1:13" ht="14.15" customHeight="1" x14ac:dyDescent="0.4">
      <c r="A40" s="9"/>
      <c r="B40" s="8"/>
      <c r="C40" s="8"/>
      <c r="D40" s="9" t="s">
        <v>25</v>
      </c>
      <c r="E40" s="8"/>
      <c r="F40" s="8" t="s">
        <v>239</v>
      </c>
      <c r="G40" s="10"/>
      <c r="H40" s="8"/>
      <c r="I40" s="10"/>
      <c r="J40" s="10"/>
      <c r="K40" s="10"/>
      <c r="L40" s="10"/>
    </row>
    <row r="41" spans="1:13" ht="14.15" customHeight="1" x14ac:dyDescent="0.4">
      <c r="A41" s="24"/>
      <c r="B41" s="8"/>
      <c r="C41" s="8"/>
      <c r="D41" s="9" t="s">
        <v>73</v>
      </c>
      <c r="E41" s="8"/>
      <c r="F41" s="8"/>
      <c r="G41" s="10"/>
      <c r="H41" s="8"/>
      <c r="I41" s="10"/>
      <c r="J41" s="10">
        <v>1000</v>
      </c>
      <c r="K41" s="8"/>
      <c r="L41" s="8"/>
    </row>
    <row r="42" spans="1:13" ht="14.15" customHeight="1" x14ac:dyDescent="0.4">
      <c r="A42" s="19"/>
      <c r="B42" s="8"/>
      <c r="C42" s="8"/>
      <c r="D42" s="9" t="s">
        <v>27</v>
      </c>
      <c r="E42" s="8"/>
      <c r="F42" s="8"/>
      <c r="G42" s="10"/>
      <c r="H42" s="8"/>
      <c r="I42" s="10"/>
      <c r="J42" s="10">
        <v>1000</v>
      </c>
      <c r="K42" s="8"/>
      <c r="L42" s="10"/>
    </row>
    <row r="43" spans="1:13" ht="14.15" customHeight="1" x14ac:dyDescent="0.4">
      <c r="A43" s="25"/>
      <c r="B43" s="8"/>
      <c r="C43" s="8"/>
      <c r="D43" s="9" t="s">
        <v>240</v>
      </c>
      <c r="E43" s="8"/>
      <c r="F43" s="8"/>
      <c r="G43" s="10"/>
      <c r="H43" s="8"/>
      <c r="I43" s="21"/>
      <c r="J43" s="95">
        <v>1000</v>
      </c>
      <c r="K43" s="8"/>
      <c r="L43" s="10"/>
    </row>
    <row r="44" spans="1:13" ht="14.15" customHeight="1" x14ac:dyDescent="0.4">
      <c r="A44" s="26"/>
      <c r="B44" s="8"/>
      <c r="C44" s="8"/>
      <c r="D44" s="8"/>
      <c r="E44" s="8"/>
      <c r="F44" s="8"/>
      <c r="G44" s="10"/>
      <c r="H44" s="8"/>
      <c r="I44" s="21"/>
      <c r="J44" s="30">
        <v>4500</v>
      </c>
      <c r="K44" s="8"/>
      <c r="L44" s="10"/>
    </row>
    <row r="45" spans="1:13" ht="15.45" x14ac:dyDescent="0.4">
      <c r="A45" s="25"/>
      <c r="B45" s="8"/>
      <c r="C45" s="8"/>
      <c r="D45" s="8"/>
      <c r="E45" s="8"/>
      <c r="F45" s="8"/>
      <c r="G45" s="10"/>
      <c r="H45" s="8"/>
      <c r="I45" s="21"/>
      <c r="J45" s="27"/>
      <c r="K45" s="8"/>
      <c r="L45" s="10"/>
    </row>
    <row r="46" spans="1:13" ht="15.45" x14ac:dyDescent="0.4">
      <c r="A46" s="26"/>
      <c r="B46" s="8"/>
      <c r="C46" s="8"/>
      <c r="D46" s="8"/>
      <c r="E46" s="8"/>
      <c r="F46" s="8"/>
      <c r="G46" s="10"/>
      <c r="H46" s="8"/>
      <c r="I46" s="27"/>
      <c r="J46" s="27"/>
      <c r="K46" s="8"/>
      <c r="L46" s="10"/>
    </row>
    <row r="47" spans="1:13" ht="15.45" x14ac:dyDescent="0.4">
      <c r="A47" s="25"/>
      <c r="B47" s="8"/>
      <c r="C47" s="8"/>
      <c r="D47" s="8"/>
      <c r="E47" s="8"/>
      <c r="F47" s="8"/>
      <c r="G47" s="41"/>
      <c r="H47" s="8"/>
      <c r="I47" s="21"/>
      <c r="J47" s="27"/>
      <c r="K47" s="8"/>
      <c r="L47" s="10"/>
    </row>
    <row r="48" spans="1:13" ht="15.45" x14ac:dyDescent="0.4">
      <c r="A48" s="26"/>
      <c r="B48" s="8"/>
      <c r="C48" s="8"/>
      <c r="D48" s="6"/>
      <c r="E48" s="8"/>
      <c r="F48" s="8"/>
      <c r="G48" s="10"/>
      <c r="H48" s="8"/>
      <c r="I48" s="10"/>
      <c r="J48" s="8"/>
      <c r="K48" s="8"/>
      <c r="L48" s="10"/>
    </row>
    <row r="49" spans="6:9" ht="15.45" x14ac:dyDescent="0.4">
      <c r="F49" s="8"/>
      <c r="I49" s="27"/>
    </row>
  </sheetData>
  <mergeCells count="2">
    <mergeCell ref="A3:N3"/>
    <mergeCell ref="A4:N4"/>
  </mergeCells>
  <pageMargins left="0.45" right="0.45" top="0.5" bottom="0.5" header="0.3" footer="0.3"/>
  <pageSetup orientation="portrait" horizont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4E9C3-8C02-4D15-BFEF-CC832762001E}">
  <dimension ref="B2:M60"/>
  <sheetViews>
    <sheetView topLeftCell="A19" workbookViewId="0">
      <selection activeCell="B17" sqref="B17"/>
    </sheetView>
  </sheetViews>
  <sheetFormatPr defaultRowHeight="14.6" x14ac:dyDescent="0.4"/>
  <cols>
    <col min="1" max="1" width="2.3046875" customWidth="1"/>
    <col min="2" max="2" width="12.84375" customWidth="1"/>
    <col min="3" max="3" width="3.07421875" customWidth="1"/>
    <col min="4" max="4" width="12.3046875" customWidth="1"/>
    <col min="5" max="5" width="1.53515625" customWidth="1"/>
    <col min="6" max="6" width="18.84375" customWidth="1"/>
    <col min="7" max="7" width="22.3046875" customWidth="1"/>
    <col min="8" max="8" width="23.3046875" hidden="1" customWidth="1"/>
    <col min="9" max="9" width="11.3046875" customWidth="1"/>
    <col min="10" max="10" width="13.69140625" customWidth="1"/>
    <col min="11" max="11" width="12.3046875" customWidth="1"/>
    <col min="12" max="12" width="13.69140625" customWidth="1"/>
    <col min="13" max="13" width="11.53515625" customWidth="1"/>
  </cols>
  <sheetData>
    <row r="2" spans="2:12" x14ac:dyDescent="0.4">
      <c r="B2" s="246" t="s">
        <v>329</v>
      </c>
    </row>
    <row r="3" spans="2:12" x14ac:dyDescent="0.4">
      <c r="B3" s="246"/>
    </row>
    <row r="4" spans="2:12" x14ac:dyDescent="0.4">
      <c r="B4" s="246"/>
    </row>
    <row r="5" spans="2:12" x14ac:dyDescent="0.4">
      <c r="B5" s="246"/>
    </row>
    <row r="6" spans="2:12" x14ac:dyDescent="0.4">
      <c r="B6" s="246"/>
    </row>
    <row r="7" spans="2:12" ht="14.15" customHeight="1" x14ac:dyDescent="0.4">
      <c r="B7" s="468" t="s">
        <v>0</v>
      </c>
      <c r="C7" s="468"/>
      <c r="D7" s="468"/>
      <c r="E7" s="468"/>
      <c r="F7" s="468"/>
      <c r="G7" s="468"/>
      <c r="H7" s="468"/>
      <c r="I7" s="468"/>
      <c r="J7" s="468"/>
      <c r="K7" s="468"/>
      <c r="L7" s="468"/>
    </row>
    <row r="8" spans="2:12" ht="14.15" customHeight="1" x14ac:dyDescent="0.4">
      <c r="B8" s="19"/>
      <c r="C8" s="19"/>
      <c r="D8" s="19"/>
      <c r="E8" s="19"/>
      <c r="F8" s="19"/>
      <c r="G8" s="19" t="s">
        <v>18</v>
      </c>
      <c r="H8" s="19"/>
      <c r="I8" s="19"/>
      <c r="J8" s="19"/>
      <c r="K8" s="19"/>
      <c r="L8" s="1"/>
    </row>
    <row r="9" spans="2:12" ht="14.15" customHeight="1" x14ac:dyDescent="0.4">
      <c r="B9" s="8"/>
      <c r="C9" s="8"/>
      <c r="D9" s="8"/>
      <c r="E9" s="8"/>
      <c r="F9" s="473" t="s">
        <v>341</v>
      </c>
      <c r="G9" s="473"/>
      <c r="H9" s="473"/>
      <c r="I9" s="473"/>
      <c r="J9" s="473"/>
      <c r="K9" s="8"/>
    </row>
    <row r="10" spans="2:12" ht="14.15" customHeight="1" thickBot="1" x14ac:dyDescent="0.45">
      <c r="B10" s="8"/>
      <c r="C10" s="8"/>
      <c r="D10" s="8"/>
      <c r="E10" s="8"/>
      <c r="F10" s="8"/>
      <c r="G10" s="8"/>
      <c r="H10" s="8"/>
      <c r="I10" s="8"/>
      <c r="J10" s="8"/>
      <c r="K10" s="8"/>
    </row>
    <row r="11" spans="2:12" ht="25.2" customHeight="1" x14ac:dyDescent="0.4">
      <c r="B11" s="145"/>
      <c r="C11" s="146"/>
      <c r="D11" s="147"/>
      <c r="E11" s="146"/>
      <c r="F11" s="168"/>
      <c r="G11" s="464" t="s">
        <v>304</v>
      </c>
      <c r="H11" s="464" t="s">
        <v>299</v>
      </c>
      <c r="I11" s="464" t="s">
        <v>293</v>
      </c>
      <c r="J11" s="472" t="s">
        <v>301</v>
      </c>
      <c r="K11" s="472"/>
      <c r="L11" s="464" t="s">
        <v>296</v>
      </c>
    </row>
    <row r="12" spans="2:12" ht="30" customHeight="1" thickBot="1" x14ac:dyDescent="0.45">
      <c r="B12" s="148" t="s">
        <v>5</v>
      </c>
      <c r="C12" s="149"/>
      <c r="D12" s="150" t="s">
        <v>309</v>
      </c>
      <c r="E12" s="149"/>
      <c r="F12" s="169" t="s">
        <v>1</v>
      </c>
      <c r="G12" s="465"/>
      <c r="H12" s="465"/>
      <c r="I12" s="465"/>
      <c r="J12" s="156" t="s">
        <v>302</v>
      </c>
      <c r="K12" s="144" t="s">
        <v>303</v>
      </c>
      <c r="L12" s="465"/>
    </row>
    <row r="13" spans="2:12" ht="16.2" customHeight="1" x14ac:dyDescent="0.4">
      <c r="B13" s="137" t="s">
        <v>253</v>
      </c>
      <c r="C13" s="19"/>
      <c r="D13" s="155"/>
      <c r="E13" s="19"/>
      <c r="F13" s="170"/>
      <c r="G13" s="110"/>
      <c r="H13" s="110"/>
      <c r="I13" s="157"/>
      <c r="J13" s="178"/>
      <c r="K13" s="183"/>
      <c r="L13" s="186"/>
    </row>
    <row r="14" spans="2:12" ht="16.2" customHeight="1" x14ac:dyDescent="0.4">
      <c r="B14" s="138" t="s">
        <v>28</v>
      </c>
      <c r="C14" s="139" t="s">
        <v>245</v>
      </c>
      <c r="D14" s="140">
        <v>2587</v>
      </c>
      <c r="E14" s="141"/>
      <c r="F14" s="171" t="s">
        <v>23</v>
      </c>
      <c r="G14" s="158">
        <v>100</v>
      </c>
      <c r="H14" s="158"/>
      <c r="I14" s="140"/>
      <c r="J14" s="114"/>
      <c r="K14" s="184"/>
      <c r="L14" s="163"/>
    </row>
    <row r="15" spans="2:12" ht="16.2" customHeight="1" x14ac:dyDescent="0.4">
      <c r="B15" s="138" t="s">
        <v>28</v>
      </c>
      <c r="C15" s="141"/>
      <c r="D15" s="140">
        <v>2588</v>
      </c>
      <c r="E15" s="141"/>
      <c r="F15" s="172" t="s">
        <v>41</v>
      </c>
      <c r="G15" s="158">
        <v>100</v>
      </c>
      <c r="H15" s="158"/>
      <c r="I15" s="140"/>
      <c r="J15" s="114"/>
      <c r="K15" s="184"/>
      <c r="L15" s="163"/>
    </row>
    <row r="16" spans="2:12" ht="16.2" customHeight="1" x14ac:dyDescent="0.4">
      <c r="B16" s="138" t="s">
        <v>28</v>
      </c>
      <c r="C16" s="141"/>
      <c r="D16" s="140">
        <v>2589</v>
      </c>
      <c r="E16" s="141"/>
      <c r="F16" s="172" t="s">
        <v>190</v>
      </c>
      <c r="G16" s="159">
        <v>20</v>
      </c>
      <c r="H16" s="159"/>
      <c r="I16" s="160" t="s">
        <v>245</v>
      </c>
      <c r="J16" s="114" t="s">
        <v>245</v>
      </c>
      <c r="K16" s="185" t="s">
        <v>245</v>
      </c>
      <c r="L16" s="167" t="s">
        <v>245</v>
      </c>
    </row>
    <row r="17" spans="2:13" ht="16.2" customHeight="1" x14ac:dyDescent="0.4">
      <c r="B17" s="138" t="s">
        <v>28</v>
      </c>
      <c r="C17" s="141"/>
      <c r="D17" s="140"/>
      <c r="E17" s="141"/>
      <c r="F17" s="172" t="s">
        <v>339</v>
      </c>
      <c r="G17" s="159">
        <v>80</v>
      </c>
      <c r="H17" s="159"/>
      <c r="I17" s="160"/>
      <c r="J17" s="114"/>
      <c r="K17" s="185"/>
      <c r="L17" s="167"/>
    </row>
    <row r="18" spans="2:13" ht="18" customHeight="1" x14ac:dyDescent="0.4">
      <c r="B18" s="154" t="s">
        <v>307</v>
      </c>
      <c r="D18" s="111"/>
      <c r="F18" s="109"/>
      <c r="G18" s="161">
        <f>SUM(G14:G17)</f>
        <v>300</v>
      </c>
      <c r="H18" s="161"/>
      <c r="I18" s="162">
        <f>G18-J18</f>
        <v>0</v>
      </c>
      <c r="J18" s="114">
        <v>300</v>
      </c>
      <c r="K18" s="185">
        <v>700</v>
      </c>
      <c r="L18" s="198">
        <f>J18+K18</f>
        <v>1000</v>
      </c>
    </row>
    <row r="19" spans="2:13" ht="16.2" customHeight="1" x14ac:dyDescent="0.4">
      <c r="B19" s="138">
        <v>11</v>
      </c>
      <c r="C19" s="141"/>
      <c r="D19" s="140">
        <v>2590</v>
      </c>
      <c r="E19" s="141"/>
      <c r="F19" s="172" t="s">
        <v>14</v>
      </c>
      <c r="G19" s="159">
        <v>100</v>
      </c>
      <c r="H19" s="159"/>
      <c r="I19" s="140"/>
      <c r="J19" s="114"/>
      <c r="K19" s="185"/>
      <c r="L19" s="199"/>
    </row>
    <row r="20" spans="2:13" ht="16.2" customHeight="1" x14ac:dyDescent="0.4">
      <c r="B20" s="138">
        <v>11</v>
      </c>
      <c r="C20" s="141"/>
      <c r="D20" s="140">
        <v>2591</v>
      </c>
      <c r="E20" s="141"/>
      <c r="F20" s="173" t="s">
        <v>74</v>
      </c>
      <c r="G20" s="159">
        <v>100</v>
      </c>
      <c r="H20" s="159"/>
      <c r="I20" s="140"/>
      <c r="J20" s="114"/>
      <c r="K20" s="185"/>
      <c r="L20" s="166"/>
    </row>
    <row r="21" spans="2:13" ht="16.2" customHeight="1" x14ac:dyDescent="0.4">
      <c r="B21" s="138">
        <v>11</v>
      </c>
      <c r="C21" s="141"/>
      <c r="D21" s="140">
        <v>2592</v>
      </c>
      <c r="E21" s="141"/>
      <c r="F21" s="173" t="s">
        <v>177</v>
      </c>
      <c r="G21" s="159">
        <v>100</v>
      </c>
      <c r="H21" s="159"/>
      <c r="I21" s="140"/>
      <c r="J21" s="114"/>
      <c r="K21" s="185"/>
      <c r="L21" s="166" t="s">
        <v>245</v>
      </c>
    </row>
    <row r="22" spans="2:13" ht="16.2" customHeight="1" x14ac:dyDescent="0.4">
      <c r="B22" s="138">
        <v>11</v>
      </c>
      <c r="C22" s="141"/>
      <c r="D22" s="140">
        <v>2593</v>
      </c>
      <c r="E22" s="141"/>
      <c r="F22" s="173" t="s">
        <v>233</v>
      </c>
      <c r="G22" s="159">
        <v>100</v>
      </c>
      <c r="H22" s="159"/>
      <c r="I22" s="160" t="s">
        <v>245</v>
      </c>
      <c r="J22" s="114" t="s">
        <v>245</v>
      </c>
      <c r="K22" s="185" t="s">
        <v>245</v>
      </c>
      <c r="L22" s="167" t="s">
        <v>245</v>
      </c>
      <c r="M22" s="135" t="s">
        <v>245</v>
      </c>
    </row>
    <row r="23" spans="2:13" ht="18" customHeight="1" x14ac:dyDescent="0.4">
      <c r="B23" s="154" t="s">
        <v>307</v>
      </c>
      <c r="D23" s="111"/>
      <c r="F23" s="109"/>
      <c r="G23" s="161">
        <f>SUM(G19:G22)</f>
        <v>400</v>
      </c>
      <c r="H23" s="161"/>
      <c r="I23" s="162">
        <f>G23-J23</f>
        <v>0</v>
      </c>
      <c r="J23" s="142">
        <v>400</v>
      </c>
      <c r="K23" s="185">
        <v>600</v>
      </c>
      <c r="L23" s="198">
        <f>J23+K23</f>
        <v>1000</v>
      </c>
      <c r="M23" s="135"/>
    </row>
    <row r="24" spans="2:13" ht="16.2" customHeight="1" x14ac:dyDescent="0.4">
      <c r="B24" s="138">
        <v>18</v>
      </c>
      <c r="C24" s="141"/>
      <c r="D24" s="140">
        <v>2594</v>
      </c>
      <c r="E24" s="141"/>
      <c r="F24" s="172" t="s">
        <v>190</v>
      </c>
      <c r="G24" s="159">
        <v>50</v>
      </c>
      <c r="H24" s="159"/>
      <c r="I24" s="140"/>
      <c r="J24" s="179"/>
      <c r="K24" s="185"/>
      <c r="L24" s="199"/>
    </row>
    <row r="25" spans="2:13" ht="16.2" customHeight="1" x14ac:dyDescent="0.4">
      <c r="B25" s="138">
        <v>18</v>
      </c>
      <c r="C25" s="141"/>
      <c r="D25" s="140">
        <v>2595</v>
      </c>
      <c r="E25" s="141"/>
      <c r="F25" s="172" t="s">
        <v>23</v>
      </c>
      <c r="G25" s="159">
        <v>200</v>
      </c>
      <c r="H25" s="159"/>
      <c r="I25" s="140"/>
      <c r="J25" s="142"/>
      <c r="K25" s="185"/>
      <c r="L25" s="199"/>
    </row>
    <row r="26" spans="2:13" ht="16.2" customHeight="1" x14ac:dyDescent="0.4">
      <c r="B26" s="138">
        <v>18</v>
      </c>
      <c r="C26" s="141"/>
      <c r="D26" s="140">
        <v>2596</v>
      </c>
      <c r="E26" s="141"/>
      <c r="F26" s="174" t="s">
        <v>41</v>
      </c>
      <c r="G26" s="159">
        <v>100</v>
      </c>
      <c r="H26" s="159"/>
      <c r="I26" s="140"/>
      <c r="J26" s="142"/>
      <c r="K26" s="185"/>
      <c r="L26" s="199"/>
    </row>
    <row r="27" spans="2:13" ht="16.2" customHeight="1" x14ac:dyDescent="0.4">
      <c r="B27" s="138">
        <v>18</v>
      </c>
      <c r="C27" s="141"/>
      <c r="D27" s="140">
        <v>2597</v>
      </c>
      <c r="E27" s="141"/>
      <c r="F27" s="172" t="s">
        <v>201</v>
      </c>
      <c r="G27" s="159">
        <v>200</v>
      </c>
      <c r="H27" s="159"/>
      <c r="I27" s="140"/>
      <c r="J27" s="142"/>
      <c r="K27" s="185"/>
      <c r="L27" s="199"/>
    </row>
    <row r="28" spans="2:13" ht="16.2" customHeight="1" x14ac:dyDescent="0.4">
      <c r="B28" s="138">
        <v>18</v>
      </c>
      <c r="C28" s="123"/>
      <c r="D28" s="140">
        <v>2598</v>
      </c>
      <c r="E28" s="141"/>
      <c r="F28" s="174" t="s">
        <v>20</v>
      </c>
      <c r="G28" s="164">
        <v>100</v>
      </c>
      <c r="H28" s="164"/>
      <c r="I28" s="165"/>
      <c r="J28" s="142"/>
      <c r="K28" s="185"/>
      <c r="L28" s="167"/>
    </row>
    <row r="29" spans="2:13" ht="16.2" customHeight="1" x14ac:dyDescent="0.4">
      <c r="B29" s="138">
        <v>18</v>
      </c>
      <c r="C29" s="123"/>
      <c r="D29" s="140">
        <v>2599</v>
      </c>
      <c r="E29" s="141"/>
      <c r="F29" s="174" t="s">
        <v>294</v>
      </c>
      <c r="G29" s="164">
        <v>150</v>
      </c>
      <c r="H29" s="164"/>
      <c r="I29" s="165"/>
      <c r="J29" s="180"/>
      <c r="K29" s="181"/>
      <c r="L29" s="167"/>
    </row>
    <row r="30" spans="2:13" ht="16.2" customHeight="1" x14ac:dyDescent="0.4">
      <c r="B30" s="138">
        <v>18</v>
      </c>
      <c r="C30" s="123"/>
      <c r="D30" s="140">
        <v>2600</v>
      </c>
      <c r="E30" s="141"/>
      <c r="F30" s="174" t="s">
        <v>232</v>
      </c>
      <c r="G30" s="164">
        <v>100</v>
      </c>
      <c r="H30" s="164"/>
      <c r="I30" s="160" t="s">
        <v>245</v>
      </c>
      <c r="J30" s="180"/>
      <c r="K30" s="181"/>
      <c r="L30" s="167" t="s">
        <v>245</v>
      </c>
    </row>
    <row r="31" spans="2:13" ht="18" customHeight="1" x14ac:dyDescent="0.4">
      <c r="B31" s="154" t="s">
        <v>307</v>
      </c>
      <c r="D31" s="111"/>
      <c r="F31" s="109"/>
      <c r="G31" s="166">
        <f>SUM(G24:G30)</f>
        <v>900</v>
      </c>
      <c r="H31" s="166"/>
      <c r="I31" s="162">
        <f>G31-J31</f>
        <v>0</v>
      </c>
      <c r="J31" s="180">
        <v>900</v>
      </c>
      <c r="K31" s="181">
        <v>100</v>
      </c>
      <c r="L31" s="198">
        <f>J31+K31</f>
        <v>1000</v>
      </c>
    </row>
    <row r="32" spans="2:13" ht="16.2" customHeight="1" x14ac:dyDescent="0.4">
      <c r="B32" s="138">
        <v>25</v>
      </c>
      <c r="C32" s="123"/>
      <c r="D32" s="140">
        <v>2601</v>
      </c>
      <c r="E32" s="141"/>
      <c r="F32" s="123" t="s">
        <v>295</v>
      </c>
      <c r="G32" s="164">
        <v>50</v>
      </c>
      <c r="H32" s="164"/>
      <c r="I32" s="165"/>
      <c r="J32" s="181"/>
      <c r="K32" s="181"/>
      <c r="L32" s="167" t="s">
        <v>245</v>
      </c>
    </row>
    <row r="33" spans="2:13" ht="16.2" customHeight="1" x14ac:dyDescent="0.4">
      <c r="B33" s="138">
        <v>25</v>
      </c>
      <c r="C33" s="123"/>
      <c r="D33" s="140">
        <v>2602</v>
      </c>
      <c r="E33" s="141"/>
      <c r="F33" s="123" t="s">
        <v>190</v>
      </c>
      <c r="G33" s="164">
        <v>20</v>
      </c>
      <c r="H33" s="164"/>
      <c r="I33" s="167"/>
      <c r="J33" s="181"/>
      <c r="K33" s="181"/>
      <c r="L33" s="167" t="s">
        <v>245</v>
      </c>
      <c r="M33" s="135" t="s">
        <v>245</v>
      </c>
    </row>
    <row r="34" spans="2:13" ht="16.2" customHeight="1" x14ac:dyDescent="0.4">
      <c r="B34" s="138">
        <v>25</v>
      </c>
      <c r="C34" s="123"/>
      <c r="D34" s="140">
        <v>2603</v>
      </c>
      <c r="E34" s="141"/>
      <c r="F34" s="123" t="s">
        <v>23</v>
      </c>
      <c r="G34" s="164">
        <v>200</v>
      </c>
      <c r="H34" s="164"/>
      <c r="I34" s="165"/>
      <c r="J34" s="182" t="s">
        <v>245</v>
      </c>
      <c r="K34" s="181"/>
      <c r="L34" s="167" t="s">
        <v>245</v>
      </c>
    </row>
    <row r="35" spans="2:13" ht="16.2" customHeight="1" x14ac:dyDescent="0.4">
      <c r="B35" s="138">
        <v>25</v>
      </c>
      <c r="C35" s="123"/>
      <c r="D35" s="140">
        <v>2604</v>
      </c>
      <c r="E35" s="141"/>
      <c r="F35" s="123" t="s">
        <v>177</v>
      </c>
      <c r="G35" s="164">
        <v>100</v>
      </c>
      <c r="H35" s="164"/>
      <c r="I35" s="167"/>
      <c r="J35" s="181" t="s">
        <v>245</v>
      </c>
      <c r="K35" s="165" t="s">
        <v>245</v>
      </c>
      <c r="L35" s="167" t="s">
        <v>245</v>
      </c>
    </row>
    <row r="36" spans="2:13" ht="16.2" customHeight="1" x14ac:dyDescent="0.4">
      <c r="B36" s="138">
        <v>25</v>
      </c>
      <c r="C36" s="141"/>
      <c r="D36" s="140">
        <v>2605</v>
      </c>
      <c r="E36" s="141"/>
      <c r="F36" s="152" t="s">
        <v>308</v>
      </c>
      <c r="G36" s="159">
        <v>0</v>
      </c>
      <c r="H36" s="159"/>
      <c r="I36" s="165"/>
      <c r="J36" s="181"/>
      <c r="K36" s="165" t="s">
        <v>245</v>
      </c>
      <c r="L36" s="167"/>
    </row>
    <row r="37" spans="2:13" ht="16.2" customHeight="1" x14ac:dyDescent="0.4">
      <c r="B37" s="175">
        <v>25</v>
      </c>
      <c r="C37" s="176"/>
      <c r="D37" s="177">
        <v>2606</v>
      </c>
      <c r="E37" s="19"/>
      <c r="F37" s="176" t="s">
        <v>294</v>
      </c>
      <c r="G37" s="164">
        <v>150</v>
      </c>
      <c r="H37" s="164"/>
      <c r="I37" s="160" t="s">
        <v>245</v>
      </c>
      <c r="J37" s="181"/>
      <c r="K37" s="165"/>
      <c r="L37" s="268" t="s">
        <v>245</v>
      </c>
    </row>
    <row r="38" spans="2:13" ht="18" customHeight="1" thickBot="1" x14ac:dyDescent="0.45">
      <c r="B38" s="187" t="s">
        <v>307</v>
      </c>
      <c r="C38" s="188"/>
      <c r="D38" s="189"/>
      <c r="E38" s="188"/>
      <c r="F38" s="188"/>
      <c r="G38" s="190">
        <f>SUM(G32:G37)</f>
        <v>520</v>
      </c>
      <c r="H38" s="190"/>
      <c r="I38" s="191">
        <f>G38-J38</f>
        <v>50</v>
      </c>
      <c r="J38" s="192">
        <v>470</v>
      </c>
      <c r="K38" s="193">
        <v>530</v>
      </c>
      <c r="L38" s="269">
        <f>J38+K38</f>
        <v>1000</v>
      </c>
      <c r="M38" s="135" t="s">
        <v>245</v>
      </c>
    </row>
    <row r="39" spans="2:13" ht="22.2" customHeight="1" thickBot="1" x14ac:dyDescent="0.45">
      <c r="B39" s="194" t="s">
        <v>297</v>
      </c>
      <c r="C39" s="195"/>
      <c r="D39" s="196"/>
      <c r="E39" s="197"/>
      <c r="F39" s="195"/>
      <c r="G39" s="200">
        <f>G38+G31+G23+G18</f>
        <v>2120</v>
      </c>
      <c r="H39" s="200"/>
      <c r="I39" s="200">
        <f>I38+I31+I23+I18</f>
        <v>50</v>
      </c>
      <c r="J39" s="200">
        <f>J38+J31+J23+J18</f>
        <v>2070</v>
      </c>
      <c r="K39" s="200">
        <f>K38+K31+K23+K18</f>
        <v>1930</v>
      </c>
      <c r="L39" s="200">
        <f>L38+L31+L23+L18</f>
        <v>4000</v>
      </c>
    </row>
    <row r="40" spans="2:13" ht="16.2" customHeight="1" x14ac:dyDescent="0.4">
      <c r="B40" s="9"/>
      <c r="C40" s="8"/>
      <c r="D40" s="19"/>
      <c r="E40" s="19"/>
      <c r="F40" s="8"/>
      <c r="G40" s="10"/>
      <c r="H40" s="10"/>
      <c r="I40" s="14" t="s">
        <v>245</v>
      </c>
      <c r="J40" s="14" t="s">
        <v>245</v>
      </c>
      <c r="K40" s="12"/>
      <c r="L40" s="15" t="s">
        <v>245</v>
      </c>
    </row>
    <row r="41" spans="2:13" ht="16.2" customHeight="1" x14ac:dyDescent="0.4">
      <c r="B41" s="9"/>
      <c r="C41" s="8"/>
      <c r="D41" s="19"/>
      <c r="E41" s="19"/>
      <c r="F41" s="8"/>
      <c r="G41" s="10"/>
      <c r="H41" s="10"/>
      <c r="I41" s="14"/>
      <c r="J41" s="14"/>
      <c r="K41" s="12"/>
      <c r="L41" s="15"/>
    </row>
    <row r="42" spans="2:13" ht="14.15" customHeight="1" x14ac:dyDescent="0.4">
      <c r="B42" s="9"/>
      <c r="C42" s="8"/>
      <c r="D42" s="19"/>
      <c r="E42" s="19"/>
      <c r="F42" s="8"/>
      <c r="G42" s="10"/>
      <c r="H42" s="10"/>
      <c r="I42" s="14"/>
      <c r="J42" s="14"/>
      <c r="K42" s="12"/>
      <c r="L42" s="15"/>
    </row>
    <row r="43" spans="2:13" ht="14.15" customHeight="1" x14ac:dyDescent="0.4">
      <c r="B43" s="8"/>
      <c r="C43" s="8"/>
      <c r="D43" s="8" t="s">
        <v>245</v>
      </c>
      <c r="E43" s="8"/>
      <c r="F43" s="8"/>
      <c r="G43" s="8"/>
      <c r="H43" s="8"/>
      <c r="I43" s="8"/>
      <c r="J43" s="8"/>
      <c r="K43" s="8"/>
    </row>
    <row r="44" spans="2:13" ht="14.15" customHeight="1" x14ac:dyDescent="0.4">
      <c r="B44" s="8"/>
      <c r="C44" s="8"/>
      <c r="D44" s="19" t="s">
        <v>245</v>
      </c>
      <c r="E44" s="8"/>
      <c r="F44" s="19" t="s">
        <v>245</v>
      </c>
      <c r="G44" s="8"/>
      <c r="H44" s="8"/>
      <c r="I44" s="8"/>
      <c r="J44" s="8"/>
      <c r="K44" s="8"/>
    </row>
    <row r="45" spans="2:13" ht="14.15" customHeight="1" x14ac:dyDescent="0.4">
      <c r="B45" s="8"/>
      <c r="C45" s="8"/>
      <c r="D45" s="8"/>
      <c r="E45" s="8"/>
      <c r="F45" s="19"/>
      <c r="G45" s="8"/>
      <c r="H45" s="8"/>
      <c r="I45" s="8"/>
      <c r="J45" s="8"/>
      <c r="K45" s="8"/>
    </row>
    <row r="46" spans="2:13" ht="14.15" customHeight="1" x14ac:dyDescent="0.4">
      <c r="B46" s="8"/>
      <c r="C46" s="8"/>
      <c r="D46" s="8"/>
      <c r="E46" s="8"/>
      <c r="F46" s="19"/>
      <c r="G46" s="8"/>
      <c r="H46" s="8"/>
      <c r="I46" s="8"/>
      <c r="J46" s="8"/>
      <c r="K46" s="8"/>
    </row>
    <row r="47" spans="2:13" ht="14.15" customHeight="1" x14ac:dyDescent="0.4">
      <c r="B47" s="8"/>
      <c r="C47" s="8"/>
      <c r="D47" s="8"/>
      <c r="E47" s="8"/>
      <c r="F47" s="19"/>
      <c r="G47" s="8"/>
      <c r="H47" s="8"/>
      <c r="I47" s="8"/>
      <c r="J47" s="8"/>
      <c r="K47" s="8"/>
    </row>
    <row r="48" spans="2:13" ht="14.15" customHeight="1" x14ac:dyDescent="0.4">
      <c r="B48" s="267" t="s">
        <v>310</v>
      </c>
      <c r="C48" s="267"/>
      <c r="D48" s="267"/>
      <c r="E48" s="267"/>
      <c r="F48" s="19"/>
      <c r="G48" s="8"/>
      <c r="H48" s="8"/>
      <c r="I48" s="8"/>
      <c r="J48" s="8"/>
      <c r="K48" s="8"/>
    </row>
    <row r="49" spans="2:11" ht="14.15" customHeight="1" thickBot="1" x14ac:dyDescent="0.45">
      <c r="B49" s="19" t="s">
        <v>245</v>
      </c>
      <c r="C49" s="8"/>
      <c r="D49" s="8"/>
      <c r="E49" s="8"/>
      <c r="F49" s="19"/>
      <c r="G49" s="19"/>
      <c r="H49" s="19"/>
      <c r="I49" s="19"/>
      <c r="J49" s="19"/>
      <c r="K49" s="19"/>
    </row>
    <row r="50" spans="2:11" ht="18" customHeight="1" thickBot="1" x14ac:dyDescent="0.45">
      <c r="B50" s="469" t="s">
        <v>311</v>
      </c>
      <c r="C50" s="470"/>
      <c r="D50" s="470"/>
      <c r="E50" s="471"/>
      <c r="F50" s="209" t="s">
        <v>123</v>
      </c>
      <c r="G50" s="19"/>
      <c r="H50" s="19"/>
      <c r="I50" s="19"/>
      <c r="J50" s="19"/>
      <c r="K50" s="19"/>
    </row>
    <row r="51" spans="2:11" ht="14.15" customHeight="1" x14ac:dyDescent="0.4">
      <c r="B51" s="204" t="s">
        <v>253</v>
      </c>
      <c r="C51" s="205" t="s">
        <v>28</v>
      </c>
      <c r="D51" s="205" t="s">
        <v>245</v>
      </c>
      <c r="E51" s="205"/>
      <c r="F51" s="206">
        <v>1000</v>
      </c>
      <c r="G51" s="41"/>
      <c r="H51" s="41"/>
      <c r="I51" s="8"/>
      <c r="J51" s="201"/>
      <c r="K51" s="8"/>
    </row>
    <row r="52" spans="2:11" ht="14.15" customHeight="1" x14ac:dyDescent="0.4">
      <c r="B52" s="138" t="s">
        <v>253</v>
      </c>
      <c r="C52" s="153">
        <v>11</v>
      </c>
      <c r="D52" s="153" t="s">
        <v>245</v>
      </c>
      <c r="E52" s="153"/>
      <c r="F52" s="159">
        <v>1000</v>
      </c>
      <c r="G52" s="10"/>
      <c r="H52" s="10"/>
      <c r="I52" s="10"/>
      <c r="J52" s="202"/>
      <c r="K52" s="10"/>
    </row>
    <row r="53" spans="2:11" ht="14.15" customHeight="1" x14ac:dyDescent="0.4">
      <c r="B53" s="138" t="s">
        <v>253</v>
      </c>
      <c r="C53" s="153">
        <v>18</v>
      </c>
      <c r="D53" s="153" t="s">
        <v>245</v>
      </c>
      <c r="E53" s="153"/>
      <c r="F53" s="164">
        <v>1000</v>
      </c>
      <c r="G53" s="10"/>
      <c r="H53" s="10"/>
      <c r="I53" s="10"/>
      <c r="J53" s="201"/>
      <c r="K53" s="8"/>
    </row>
    <row r="54" spans="2:11" ht="14.15" customHeight="1" thickBot="1" x14ac:dyDescent="0.45">
      <c r="B54" s="151" t="s">
        <v>253</v>
      </c>
      <c r="C54" s="207">
        <v>25</v>
      </c>
      <c r="D54" s="207" t="s">
        <v>245</v>
      </c>
      <c r="E54" s="207"/>
      <c r="F54" s="208">
        <v>1000</v>
      </c>
      <c r="G54" s="10"/>
      <c r="H54" s="10"/>
      <c r="I54" s="10"/>
      <c r="J54" s="201"/>
      <c r="K54" s="10"/>
    </row>
    <row r="55" spans="2:11" ht="8.15" customHeight="1" x14ac:dyDescent="0.4">
      <c r="B55" s="210"/>
      <c r="C55" s="211"/>
      <c r="D55" s="212" t="s">
        <v>245</v>
      </c>
      <c r="E55" s="212"/>
      <c r="F55" s="213"/>
      <c r="G55" s="10"/>
      <c r="H55" s="10"/>
      <c r="I55" s="21"/>
      <c r="J55" s="201"/>
      <c r="K55" s="10"/>
    </row>
    <row r="56" spans="2:11" ht="14.15" customHeight="1" thickBot="1" x14ac:dyDescent="0.45">
      <c r="B56" s="466" t="s">
        <v>296</v>
      </c>
      <c r="C56" s="467"/>
      <c r="D56" s="467"/>
      <c r="E56" s="214"/>
      <c r="F56" s="215">
        <f>SUM(F51:F54)</f>
        <v>4000</v>
      </c>
      <c r="G56" s="10"/>
      <c r="H56" s="10"/>
      <c r="I56" s="21"/>
      <c r="J56" s="203"/>
      <c r="K56" s="10"/>
    </row>
    <row r="57" spans="2:11" ht="15.45" x14ac:dyDescent="0.4">
      <c r="B57" s="26"/>
      <c r="C57" s="8"/>
      <c r="D57" s="8"/>
      <c r="E57" s="8"/>
      <c r="F57" s="8"/>
      <c r="G57" s="10"/>
      <c r="H57" s="10"/>
      <c r="I57" s="27"/>
      <c r="J57" s="27"/>
      <c r="K57" s="10"/>
    </row>
    <row r="58" spans="2:11" ht="15.45" x14ac:dyDescent="0.4">
      <c r="B58" s="25"/>
      <c r="C58" s="8"/>
      <c r="D58" s="8"/>
      <c r="E58" s="8"/>
      <c r="F58" s="8"/>
      <c r="G58" s="41"/>
      <c r="H58" s="41"/>
      <c r="I58" s="21"/>
      <c r="J58" s="27"/>
      <c r="K58" s="10"/>
    </row>
    <row r="59" spans="2:11" ht="15.45" x14ac:dyDescent="0.4">
      <c r="B59" s="26"/>
      <c r="C59" s="8"/>
      <c r="D59" s="6"/>
      <c r="E59" s="6"/>
      <c r="F59" s="8"/>
      <c r="G59" s="10"/>
      <c r="H59" s="10"/>
      <c r="I59" s="10"/>
      <c r="J59" s="8"/>
      <c r="K59" s="10"/>
    </row>
    <row r="60" spans="2:11" ht="15.45" x14ac:dyDescent="0.4">
      <c r="F60" s="8"/>
      <c r="I60" s="27"/>
    </row>
  </sheetData>
  <mergeCells count="9">
    <mergeCell ref="I11:I12"/>
    <mergeCell ref="B56:D56"/>
    <mergeCell ref="B7:L7"/>
    <mergeCell ref="B50:E50"/>
    <mergeCell ref="H11:H12"/>
    <mergeCell ref="G11:G12"/>
    <mergeCell ref="J11:K11"/>
    <mergeCell ref="L11:L12"/>
    <mergeCell ref="F9:J9"/>
  </mergeCells>
  <pageMargins left="0" right="0" top="0" bottom="0" header="0.31496062992125984" footer="0.31496062992125984"/>
  <pageSetup scale="85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D4AEFD-D828-413F-A15B-16EE2F3584E1}">
  <dimension ref="B1:R68"/>
  <sheetViews>
    <sheetView zoomScale="90" zoomScaleNormal="90" workbookViewId="0">
      <selection activeCell="E23" sqref="E23"/>
    </sheetView>
  </sheetViews>
  <sheetFormatPr defaultRowHeight="14.6" x14ac:dyDescent="0.4"/>
  <cols>
    <col min="1" max="1" width="3.3046875" customWidth="1"/>
    <col min="2" max="2" width="1" customWidth="1"/>
    <col min="3" max="3" width="15.3046875" customWidth="1"/>
    <col min="4" max="4" width="0.53515625" customWidth="1"/>
    <col min="6" max="6" width="0.84375" customWidth="1"/>
    <col min="7" max="7" width="12" customWidth="1"/>
    <col min="8" max="8" width="19.07421875" customWidth="1"/>
    <col min="9" max="9" width="15.53515625" customWidth="1"/>
    <col min="10" max="10" width="17.07421875" customWidth="1"/>
    <col min="11" max="11" width="3" customWidth="1"/>
    <col min="12" max="12" width="19.53515625" customWidth="1"/>
    <col min="13" max="13" width="1" customWidth="1"/>
    <col min="14" max="14" width="12.84375" customWidth="1"/>
    <col min="16" max="16" width="9.84375" customWidth="1"/>
  </cols>
  <sheetData>
    <row r="1" spans="3:14" ht="6" customHeight="1" x14ac:dyDescent="0.4"/>
    <row r="2" spans="3:14" ht="6" customHeight="1" x14ac:dyDescent="0.4"/>
    <row r="3" spans="3:14" ht="6" customHeight="1" x14ac:dyDescent="0.4"/>
    <row r="4" spans="3:14" ht="20.149999999999999" customHeight="1" x14ac:dyDescent="0.4">
      <c r="C4" s="476" t="s">
        <v>0</v>
      </c>
      <c r="D4" s="476"/>
      <c r="E4" s="476"/>
      <c r="F4" s="476"/>
      <c r="G4" s="476"/>
      <c r="H4" s="476"/>
      <c r="I4" s="476"/>
      <c r="J4" s="476"/>
      <c r="K4" s="476"/>
      <c r="L4" s="476"/>
      <c r="M4" s="476"/>
    </row>
    <row r="5" spans="3:14" ht="20.149999999999999" customHeight="1" x14ac:dyDescent="0.45">
      <c r="C5" s="492" t="s">
        <v>333</v>
      </c>
      <c r="D5" s="492"/>
      <c r="E5" s="492"/>
      <c r="F5" s="492"/>
      <c r="G5" s="492"/>
      <c r="H5" s="492"/>
      <c r="I5" s="492"/>
      <c r="J5" s="492"/>
      <c r="K5" s="492"/>
      <c r="L5" s="492"/>
      <c r="M5" s="243"/>
    </row>
    <row r="6" spans="3:14" ht="20.149999999999999" customHeight="1" x14ac:dyDescent="0.45">
      <c r="C6" s="492" t="s">
        <v>245</v>
      </c>
      <c r="D6" s="492"/>
      <c r="E6" s="492"/>
      <c r="F6" s="492"/>
      <c r="G6" s="492"/>
      <c r="H6" s="492"/>
      <c r="I6" s="492"/>
      <c r="J6" s="492"/>
      <c r="K6" s="492"/>
      <c r="L6" s="492"/>
      <c r="M6" s="243"/>
    </row>
    <row r="7" spans="3:14" ht="20.149999999999999" customHeight="1" x14ac:dyDescent="0.45">
      <c r="C7" s="476" t="s">
        <v>318</v>
      </c>
      <c r="D7" s="476"/>
      <c r="E7" s="476"/>
      <c r="F7" s="476"/>
      <c r="G7" s="476"/>
      <c r="H7" s="476"/>
      <c r="I7" s="476"/>
      <c r="J7" s="476"/>
      <c r="K7" s="476"/>
      <c r="L7" s="476"/>
      <c r="M7" s="243"/>
    </row>
    <row r="8" spans="3:14" ht="20.149999999999999" customHeight="1" x14ac:dyDescent="0.45">
      <c r="C8" s="476" t="s">
        <v>319</v>
      </c>
      <c r="D8" s="476"/>
      <c r="E8" s="476"/>
      <c r="F8" s="476"/>
      <c r="G8" s="476"/>
      <c r="H8" s="476"/>
      <c r="I8" s="476"/>
      <c r="J8" s="476"/>
      <c r="K8" s="476"/>
      <c r="L8" s="476"/>
      <c r="M8" s="221"/>
    </row>
    <row r="9" spans="3:14" ht="15" customHeight="1" x14ac:dyDescent="0.4">
      <c r="C9" s="8"/>
      <c r="D9" s="8"/>
      <c r="E9" s="8"/>
      <c r="F9" s="8"/>
      <c r="G9" s="8"/>
      <c r="H9" s="8"/>
      <c r="I9" s="8"/>
      <c r="J9" s="8"/>
      <c r="K9" s="8"/>
      <c r="L9" s="8"/>
      <c r="M9" s="8"/>
    </row>
    <row r="10" spans="3:14" ht="15" customHeight="1" x14ac:dyDescent="0.45">
      <c r="C10" s="220" t="s">
        <v>334</v>
      </c>
      <c r="D10" s="221"/>
      <c r="E10" s="221"/>
      <c r="F10" s="221"/>
      <c r="G10" s="221"/>
      <c r="H10" s="221"/>
      <c r="I10" s="221"/>
      <c r="J10" s="221"/>
      <c r="K10" s="247" t="s">
        <v>326</v>
      </c>
      <c r="L10" s="219">
        <v>12972.55</v>
      </c>
      <c r="M10" s="8"/>
      <c r="N10" s="135" t="s">
        <v>245</v>
      </c>
    </row>
    <row r="11" spans="3:14" ht="15" customHeight="1" x14ac:dyDescent="0.45">
      <c r="C11" s="221"/>
      <c r="D11" s="221"/>
      <c r="E11" s="221"/>
      <c r="F11" s="221"/>
      <c r="G11" s="221"/>
      <c r="H11" s="221"/>
      <c r="I11" s="221"/>
      <c r="J11" s="221"/>
      <c r="K11" s="8"/>
      <c r="L11" s="8"/>
      <c r="M11" s="8"/>
    </row>
    <row r="12" spans="3:14" ht="15" customHeight="1" x14ac:dyDescent="0.45">
      <c r="C12" s="220" t="s">
        <v>328</v>
      </c>
      <c r="D12" s="220"/>
      <c r="E12" s="221"/>
      <c r="F12" s="221"/>
      <c r="G12" s="221"/>
      <c r="H12" s="221"/>
      <c r="I12" s="221"/>
      <c r="J12" s="221"/>
      <c r="K12" s="8"/>
      <c r="L12" s="8"/>
      <c r="M12" s="8"/>
    </row>
    <row r="13" spans="3:14" ht="15" customHeight="1" x14ac:dyDescent="0.45">
      <c r="C13" s="221"/>
      <c r="D13" s="221"/>
      <c r="E13" s="221"/>
      <c r="F13" s="221"/>
      <c r="G13" s="221"/>
      <c r="H13" s="221"/>
      <c r="I13" s="226" t="s">
        <v>245</v>
      </c>
      <c r="J13" s="226" t="s">
        <v>245</v>
      </c>
      <c r="K13" s="19"/>
      <c r="L13" s="8"/>
      <c r="M13" s="8"/>
    </row>
    <row r="14" spans="3:14" ht="15" customHeight="1" x14ac:dyDescent="0.45">
      <c r="C14" s="476" t="s">
        <v>305</v>
      </c>
      <c r="D14" s="476"/>
      <c r="E14" s="476"/>
      <c r="F14" s="221"/>
      <c r="G14" s="221" t="s">
        <v>320</v>
      </c>
      <c r="H14" s="221"/>
      <c r="I14" s="226"/>
      <c r="J14" s="226"/>
      <c r="K14" s="19"/>
      <c r="L14" s="8"/>
      <c r="M14" s="8"/>
    </row>
    <row r="15" spans="3:14" ht="15" customHeight="1" x14ac:dyDescent="0.45">
      <c r="C15" s="238"/>
      <c r="D15" s="238"/>
      <c r="E15" s="238"/>
      <c r="F15" s="221"/>
      <c r="G15" s="221"/>
      <c r="H15" s="221"/>
      <c r="I15" s="226"/>
      <c r="J15" s="226"/>
      <c r="K15" s="19"/>
      <c r="L15" s="8"/>
      <c r="M15" s="8"/>
    </row>
    <row r="16" spans="3:14" ht="15" customHeight="1" x14ac:dyDescent="0.45">
      <c r="C16" s="476" t="s">
        <v>245</v>
      </c>
      <c r="D16" s="476"/>
      <c r="E16" s="476"/>
      <c r="F16" s="221"/>
      <c r="G16" s="221"/>
      <c r="H16" s="239" t="s">
        <v>316</v>
      </c>
      <c r="I16" s="239" t="s">
        <v>2</v>
      </c>
      <c r="J16" s="239" t="s">
        <v>306</v>
      </c>
      <c r="K16" s="19"/>
      <c r="L16" s="8"/>
      <c r="M16" s="8"/>
    </row>
    <row r="17" spans="3:15" ht="15" customHeight="1" x14ac:dyDescent="0.45">
      <c r="C17" s="221"/>
      <c r="D17" s="221"/>
      <c r="E17" s="226" t="s">
        <v>245</v>
      </c>
      <c r="F17" s="226"/>
      <c r="G17" s="240" t="s">
        <v>245</v>
      </c>
      <c r="H17" s="222" t="s">
        <v>245</v>
      </c>
      <c r="I17" s="241" t="s">
        <v>245</v>
      </c>
      <c r="J17" s="230" t="s">
        <v>245</v>
      </c>
      <c r="K17" s="201"/>
      <c r="L17" s="8"/>
      <c r="M17" s="8"/>
    </row>
    <row r="18" spans="3:15" ht="20.149999999999999" customHeight="1" x14ac:dyDescent="0.45">
      <c r="C18" s="221"/>
      <c r="D18" s="221"/>
      <c r="E18" s="226" t="s">
        <v>253</v>
      </c>
      <c r="F18" s="226"/>
      <c r="G18" s="240" t="s">
        <v>28</v>
      </c>
      <c r="H18" s="222">
        <f>881</f>
        <v>881</v>
      </c>
      <c r="I18" s="222">
        <v>700</v>
      </c>
      <c r="J18" s="222">
        <f>H18-I18</f>
        <v>181</v>
      </c>
      <c r="K18" s="216"/>
      <c r="L18" s="8"/>
      <c r="M18" s="8"/>
    </row>
    <row r="19" spans="3:15" ht="20.149999999999999" customHeight="1" x14ac:dyDescent="0.45">
      <c r="C19" s="221"/>
      <c r="D19" s="221"/>
      <c r="E19" s="226" t="s">
        <v>253</v>
      </c>
      <c r="F19" s="226"/>
      <c r="G19" s="240">
        <v>11</v>
      </c>
      <c r="H19" s="223">
        <v>2340</v>
      </c>
      <c r="I19" s="222">
        <v>600</v>
      </c>
      <c r="J19" s="222">
        <f>H19-I19</f>
        <v>1740</v>
      </c>
      <c r="K19" s="216"/>
      <c r="L19" s="8"/>
      <c r="M19" s="8"/>
    </row>
    <row r="20" spans="3:15" ht="20.149999999999999" customHeight="1" x14ac:dyDescent="0.45">
      <c r="C20" s="221"/>
      <c r="D20" s="221"/>
      <c r="E20" s="226" t="s">
        <v>253</v>
      </c>
      <c r="F20" s="226"/>
      <c r="G20" s="240">
        <v>18</v>
      </c>
      <c r="H20" s="223">
        <v>1807</v>
      </c>
      <c r="I20" s="222">
        <v>100</v>
      </c>
      <c r="J20" s="222">
        <f>H20-I20</f>
        <v>1707</v>
      </c>
      <c r="K20" s="216"/>
      <c r="L20" s="8"/>
      <c r="M20" s="8"/>
    </row>
    <row r="21" spans="3:15" ht="20.149999999999999" customHeight="1" x14ac:dyDescent="0.75">
      <c r="C21" s="221"/>
      <c r="D21" s="221"/>
      <c r="E21" s="226" t="s">
        <v>253</v>
      </c>
      <c r="F21" s="226"/>
      <c r="G21" s="240">
        <v>25</v>
      </c>
      <c r="H21" s="265">
        <v>2225</v>
      </c>
      <c r="I21" s="266">
        <v>530</v>
      </c>
      <c r="J21" s="266">
        <f>H21-I21</f>
        <v>1695</v>
      </c>
      <c r="K21" s="216"/>
      <c r="L21" s="44" t="s">
        <v>245</v>
      </c>
      <c r="M21" s="8"/>
    </row>
    <row r="22" spans="3:15" ht="15" customHeight="1" x14ac:dyDescent="0.45">
      <c r="C22" s="221"/>
      <c r="D22" s="221"/>
      <c r="E22" s="226"/>
      <c r="F22" s="226"/>
      <c r="G22" s="240"/>
      <c r="H22" s="223"/>
      <c r="I22" s="222"/>
      <c r="J22" s="222"/>
      <c r="K22" s="216"/>
      <c r="L22" s="44"/>
      <c r="M22" s="8"/>
    </row>
    <row r="23" spans="3:15" ht="15" customHeight="1" x14ac:dyDescent="0.45">
      <c r="C23" s="221"/>
      <c r="D23" s="221"/>
      <c r="E23" s="238" t="s">
        <v>65</v>
      </c>
      <c r="F23" s="221"/>
      <c r="G23" s="226"/>
      <c r="H23" s="224">
        <f>SUM(H18:H21)</f>
        <v>7253</v>
      </c>
      <c r="I23" s="224">
        <f>SUM(I18:I21)</f>
        <v>1930</v>
      </c>
      <c r="J23" s="248">
        <f>SUM(J18:J21)</f>
        <v>5323</v>
      </c>
      <c r="K23" s="218"/>
      <c r="L23" s="44" t="s">
        <v>245</v>
      </c>
      <c r="M23" s="8"/>
      <c r="N23" t="s">
        <v>245</v>
      </c>
      <c r="O23" s="135" t="s">
        <v>245</v>
      </c>
    </row>
    <row r="24" spans="3:15" ht="15" customHeight="1" x14ac:dyDescent="0.45">
      <c r="C24" s="221"/>
      <c r="D24" s="221"/>
      <c r="E24" s="221"/>
      <c r="F24" s="221"/>
      <c r="G24" s="226"/>
      <c r="H24" s="224"/>
      <c r="I24" s="222"/>
      <c r="J24" s="222"/>
      <c r="K24" s="216"/>
      <c r="L24" s="44"/>
      <c r="M24" s="8"/>
    </row>
    <row r="25" spans="3:15" ht="15" customHeight="1" x14ac:dyDescent="0.45">
      <c r="C25" s="221"/>
      <c r="D25" s="221"/>
      <c r="E25" s="221"/>
      <c r="F25" s="221"/>
      <c r="G25" s="226"/>
      <c r="H25" s="224"/>
      <c r="I25" s="222"/>
      <c r="J25" s="222"/>
      <c r="K25" s="216"/>
      <c r="L25" s="44"/>
      <c r="M25" s="8"/>
    </row>
    <row r="26" spans="3:15" ht="15" customHeight="1" x14ac:dyDescent="0.45">
      <c r="C26" s="220" t="s">
        <v>330</v>
      </c>
      <c r="D26" s="221"/>
      <c r="E26" s="221"/>
      <c r="F26" s="221"/>
      <c r="G26" s="221"/>
      <c r="H26" s="226"/>
      <c r="I26" s="230"/>
      <c r="J26" s="219" t="s">
        <v>245</v>
      </c>
      <c r="K26" s="219"/>
      <c r="L26" s="225" t="s">
        <v>245</v>
      </c>
      <c r="M26" s="8"/>
    </row>
    <row r="27" spans="3:15" ht="8.15" customHeight="1" x14ac:dyDescent="0.45">
      <c r="C27" s="220"/>
      <c r="D27" s="221"/>
      <c r="E27" s="221"/>
      <c r="F27" s="221"/>
      <c r="G27" s="221"/>
      <c r="H27" s="226"/>
      <c r="I27" s="230"/>
      <c r="J27" s="219"/>
      <c r="K27" s="219"/>
      <c r="L27" s="225"/>
      <c r="M27" s="8"/>
    </row>
    <row r="28" spans="3:15" ht="22.95" customHeight="1" x14ac:dyDescent="0.85">
      <c r="C28" s="220"/>
      <c r="D28" s="221"/>
      <c r="E28" s="475" t="s">
        <v>325</v>
      </c>
      <c r="F28" s="475"/>
      <c r="G28" s="475"/>
      <c r="H28" s="475"/>
      <c r="I28" s="230"/>
      <c r="J28" s="263">
        <v>50</v>
      </c>
      <c r="K28" s="219"/>
      <c r="L28" s="264">
        <f>J23+J28</f>
        <v>5373</v>
      </c>
      <c r="M28" s="8"/>
      <c r="N28" s="135">
        <f>L28-3915</f>
        <v>1458</v>
      </c>
    </row>
    <row r="29" spans="3:15" ht="15" customHeight="1" x14ac:dyDescent="0.75">
      <c r="C29" s="242"/>
      <c r="D29" s="236"/>
      <c r="E29" s="243"/>
      <c r="F29" s="236"/>
      <c r="G29" s="226"/>
      <c r="H29" s="226"/>
      <c r="I29" s="226"/>
      <c r="J29" s="222"/>
      <c r="K29" s="222"/>
      <c r="L29" s="244"/>
      <c r="M29" s="8"/>
    </row>
    <row r="30" spans="3:15" ht="15" customHeight="1" x14ac:dyDescent="0.45">
      <c r="C30" s="220" t="s">
        <v>313</v>
      </c>
      <c r="D30" s="220"/>
      <c r="E30" s="221"/>
      <c r="F30" s="221"/>
      <c r="G30" s="221"/>
      <c r="H30" s="221"/>
      <c r="I30" s="221"/>
      <c r="J30" s="221"/>
      <c r="K30" s="247" t="s">
        <v>326</v>
      </c>
      <c r="L30" s="219">
        <f>L28+L10</f>
        <v>18345.55</v>
      </c>
      <c r="M30" s="8"/>
    </row>
    <row r="31" spans="3:15" ht="13.5" customHeight="1" x14ac:dyDescent="0.45">
      <c r="C31" s="220"/>
      <c r="D31" s="220"/>
      <c r="E31" s="221"/>
      <c r="F31" s="221"/>
      <c r="G31" s="221"/>
      <c r="H31" s="221"/>
      <c r="I31" s="221"/>
      <c r="J31" s="221"/>
      <c r="K31" s="221"/>
      <c r="L31" s="221"/>
      <c r="M31" s="8"/>
    </row>
    <row r="32" spans="3:15" ht="13.5" customHeight="1" x14ac:dyDescent="0.45">
      <c r="C32" s="220" t="s">
        <v>314</v>
      </c>
      <c r="D32" s="220"/>
      <c r="E32" s="221"/>
      <c r="F32" s="221"/>
      <c r="G32" s="221"/>
      <c r="H32" s="221"/>
      <c r="I32" s="221"/>
      <c r="J32" s="221"/>
      <c r="K32" s="221"/>
      <c r="L32" s="221"/>
      <c r="M32" s="8"/>
    </row>
    <row r="33" spans="3:18" ht="15" customHeight="1" x14ac:dyDescent="0.45">
      <c r="C33" s="221" t="s">
        <v>245</v>
      </c>
      <c r="D33" s="221"/>
      <c r="E33" s="221" t="s">
        <v>245</v>
      </c>
      <c r="F33" s="221"/>
      <c r="G33" s="221"/>
      <c r="H33" s="221"/>
      <c r="I33" s="221"/>
      <c r="J33" s="221"/>
      <c r="K33" s="221"/>
      <c r="L33" s="221"/>
      <c r="M33" s="8"/>
    </row>
    <row r="34" spans="3:18" ht="15" customHeight="1" x14ac:dyDescent="0.45">
      <c r="C34" s="239" t="s">
        <v>5</v>
      </c>
      <c r="D34" s="226"/>
      <c r="E34" s="226" t="s">
        <v>257</v>
      </c>
      <c r="F34" s="226"/>
      <c r="G34" s="487" t="s">
        <v>331</v>
      </c>
      <c r="H34" s="487"/>
      <c r="I34" s="487"/>
      <c r="J34" s="236" t="s">
        <v>123</v>
      </c>
      <c r="K34" s="221"/>
      <c r="L34" s="226" t="s">
        <v>245</v>
      </c>
      <c r="M34" s="19"/>
    </row>
    <row r="35" spans="3:18" ht="15" customHeight="1" x14ac:dyDescent="0.45">
      <c r="C35" s="226"/>
      <c r="D35" s="226"/>
      <c r="E35" s="226"/>
      <c r="F35" s="226"/>
      <c r="G35" s="221"/>
      <c r="H35" s="221"/>
      <c r="I35" s="221"/>
      <c r="J35" s="221"/>
      <c r="K35" s="221"/>
      <c r="L35" s="226"/>
      <c r="M35" s="19"/>
    </row>
    <row r="36" spans="3:18" ht="20.149999999999999" customHeight="1" x14ac:dyDescent="0.45">
      <c r="C36" s="227">
        <v>45506</v>
      </c>
      <c r="D36" s="226"/>
      <c r="E36" s="226"/>
      <c r="F36" s="226"/>
      <c r="G36" s="228" t="s">
        <v>324</v>
      </c>
      <c r="H36" s="221"/>
      <c r="I36" s="221"/>
      <c r="J36" s="222">
        <v>1206.8</v>
      </c>
      <c r="K36" s="222"/>
      <c r="L36" s="222"/>
      <c r="M36" s="19"/>
    </row>
    <row r="37" spans="3:18" ht="20.149999999999999" customHeight="1" x14ac:dyDescent="0.45">
      <c r="C37" s="227">
        <v>45567</v>
      </c>
      <c r="D37" s="226"/>
      <c r="E37" s="226"/>
      <c r="F37" s="226"/>
      <c r="G37" s="228" t="s">
        <v>332</v>
      </c>
      <c r="H37" s="221"/>
      <c r="I37" s="221"/>
      <c r="J37" s="222">
        <f>575</f>
        <v>575</v>
      </c>
      <c r="K37" s="222"/>
      <c r="L37" s="222"/>
      <c r="M37" s="19"/>
    </row>
    <row r="38" spans="3:18" ht="20.149999999999999" customHeight="1" x14ac:dyDescent="0.45">
      <c r="C38" s="227">
        <v>45598</v>
      </c>
      <c r="D38" s="227"/>
      <c r="E38" s="229"/>
      <c r="F38" s="229"/>
      <c r="G38" s="228" t="s">
        <v>298</v>
      </c>
      <c r="H38" s="221"/>
      <c r="I38" s="221"/>
      <c r="J38" s="230">
        <v>1000</v>
      </c>
      <c r="K38" s="230"/>
      <c r="L38" s="230"/>
      <c r="M38" s="201"/>
    </row>
    <row r="39" spans="3:18" ht="20.149999999999999" customHeight="1" x14ac:dyDescent="0.45">
      <c r="C39" s="227" t="s">
        <v>315</v>
      </c>
      <c r="D39" s="227"/>
      <c r="E39" s="229"/>
      <c r="F39" s="229"/>
      <c r="G39" s="228" t="s">
        <v>335</v>
      </c>
      <c r="H39" s="221"/>
      <c r="I39" s="221"/>
      <c r="J39" s="230">
        <v>1134.5</v>
      </c>
      <c r="K39" s="230"/>
      <c r="L39" s="230"/>
      <c r="M39" s="201"/>
    </row>
    <row r="40" spans="3:18" ht="20.149999999999999" customHeight="1" x14ac:dyDescent="0.85">
      <c r="C40" s="227" t="s">
        <v>337</v>
      </c>
      <c r="D40" s="227"/>
      <c r="E40" s="229"/>
      <c r="F40" s="229"/>
      <c r="G40" s="228" t="s">
        <v>338</v>
      </c>
      <c r="H40" s="221"/>
      <c r="I40" s="221"/>
      <c r="J40" s="271">
        <v>200</v>
      </c>
      <c r="K40" s="230"/>
      <c r="L40" s="263">
        <f>SUM(J36:J40)</f>
        <v>4116.3</v>
      </c>
      <c r="M40" s="201"/>
    </row>
    <row r="41" spans="3:18" ht="15" customHeight="1" x14ac:dyDescent="0.45">
      <c r="C41" s="227"/>
      <c r="D41" s="227"/>
      <c r="E41" s="229"/>
      <c r="F41" s="229"/>
      <c r="G41" s="228"/>
      <c r="H41" s="221"/>
      <c r="I41" s="221"/>
      <c r="J41" s="230"/>
      <c r="K41" s="230"/>
      <c r="L41" s="230"/>
      <c r="M41" s="201"/>
    </row>
    <row r="42" spans="3:18" ht="20.149999999999999" customHeight="1" x14ac:dyDescent="0.45">
      <c r="C42" s="220" t="s">
        <v>327</v>
      </c>
      <c r="D42" s="220"/>
      <c r="E42" s="221"/>
      <c r="F42" s="221"/>
      <c r="G42" s="221"/>
      <c r="H42" s="221"/>
      <c r="I42" s="221"/>
      <c r="J42" s="221"/>
      <c r="K42" s="221"/>
      <c r="L42" s="231">
        <f>L30-L40</f>
        <v>14229.25</v>
      </c>
      <c r="M42" s="44"/>
    </row>
    <row r="43" spans="3:18" ht="13.5" customHeight="1" x14ac:dyDescent="0.45">
      <c r="C43" s="221"/>
      <c r="D43" s="221"/>
      <c r="E43" s="221"/>
      <c r="F43" s="221"/>
      <c r="G43" s="221"/>
      <c r="H43" s="221"/>
      <c r="I43" s="221"/>
      <c r="J43" s="221"/>
      <c r="K43" s="221"/>
      <c r="L43" s="225"/>
      <c r="M43" s="44"/>
    </row>
    <row r="44" spans="3:18" ht="20.149999999999999" customHeight="1" x14ac:dyDescent="0.85">
      <c r="C44" s="220" t="s">
        <v>312</v>
      </c>
      <c r="D44" s="221"/>
      <c r="E44" s="221"/>
      <c r="F44" s="221"/>
      <c r="G44" s="221"/>
      <c r="H44" s="221"/>
      <c r="I44" s="221"/>
      <c r="J44" s="221"/>
      <c r="K44" s="221"/>
      <c r="L44" s="264">
        <v>12090</v>
      </c>
      <c r="M44" s="44"/>
    </row>
    <row r="45" spans="3:18" ht="13.5" customHeight="1" x14ac:dyDescent="0.45">
      <c r="C45" s="221"/>
      <c r="D45" s="221"/>
      <c r="E45" s="221"/>
      <c r="F45" s="221"/>
      <c r="G45" s="221"/>
      <c r="H45" s="221"/>
      <c r="I45" s="221"/>
      <c r="J45" s="221"/>
      <c r="K45" s="221"/>
      <c r="L45" s="225"/>
      <c r="M45" s="44"/>
    </row>
    <row r="46" spans="3:18" ht="24.45" customHeight="1" thickBot="1" x14ac:dyDescent="0.5">
      <c r="C46" s="220" t="s">
        <v>323</v>
      </c>
      <c r="D46" s="221"/>
      <c r="E46" s="221"/>
      <c r="F46" s="221"/>
      <c r="G46" s="221"/>
      <c r="H46" s="221"/>
      <c r="I46" s="221"/>
      <c r="J46" s="221"/>
      <c r="K46" s="245" t="s">
        <v>326</v>
      </c>
      <c r="L46" s="232">
        <f>L42-L44</f>
        <v>2139.25</v>
      </c>
      <c r="M46" s="8"/>
      <c r="N46" s="2"/>
      <c r="O46" s="135"/>
      <c r="P46" s="135"/>
      <c r="Q46" s="135"/>
      <c r="R46" s="135"/>
    </row>
    <row r="47" spans="3:18" ht="13.5" customHeight="1" thickTop="1" x14ac:dyDescent="0.45">
      <c r="C47" s="221"/>
      <c r="D47" s="221"/>
      <c r="E47" s="220"/>
      <c r="F47" s="220"/>
      <c r="G47" s="221"/>
      <c r="H47" s="221"/>
      <c r="I47" s="221"/>
      <c r="J47" s="221"/>
      <c r="K47" s="221"/>
      <c r="L47" s="221"/>
      <c r="M47" s="8"/>
      <c r="N47" s="135"/>
      <c r="O47" s="474"/>
      <c r="P47" s="474"/>
    </row>
    <row r="48" spans="3:18" ht="13.5" customHeight="1" x14ac:dyDescent="0.45">
      <c r="C48" s="221"/>
      <c r="D48" s="221"/>
      <c r="E48" s="220"/>
      <c r="F48" s="220"/>
      <c r="G48" s="221"/>
      <c r="H48" s="221"/>
      <c r="I48" s="221"/>
      <c r="J48" s="221"/>
      <c r="K48" s="221"/>
      <c r="L48" s="221"/>
      <c r="M48" s="8"/>
      <c r="N48" s="270"/>
    </row>
    <row r="49" spans="2:13" ht="13.5" customHeight="1" thickBot="1" x14ac:dyDescent="0.45">
      <c r="C49" s="8"/>
      <c r="D49" s="8"/>
      <c r="E49" s="13"/>
      <c r="F49" s="13"/>
      <c r="G49" s="8"/>
      <c r="H49" s="8"/>
      <c r="I49" s="8"/>
      <c r="J49" s="8"/>
      <c r="K49" s="8"/>
      <c r="L49" s="8"/>
      <c r="M49" s="8"/>
    </row>
    <row r="50" spans="2:13" ht="13.5" customHeight="1" x14ac:dyDescent="0.45">
      <c r="B50" s="251"/>
      <c r="C50" s="481" t="s">
        <v>286</v>
      </c>
      <c r="D50" s="481"/>
      <c r="E50" s="481"/>
      <c r="F50" s="481"/>
      <c r="G50" s="481"/>
      <c r="H50" s="481"/>
      <c r="I50" s="252"/>
      <c r="J50" s="252"/>
      <c r="K50" s="483" t="s">
        <v>326</v>
      </c>
      <c r="L50" s="479">
        <v>47852.46</v>
      </c>
      <c r="M50" s="253"/>
    </row>
    <row r="51" spans="2:13" ht="11.15" customHeight="1" x14ac:dyDescent="0.4">
      <c r="B51" s="254"/>
      <c r="C51" s="482"/>
      <c r="D51" s="482"/>
      <c r="E51" s="482"/>
      <c r="F51" s="482"/>
      <c r="G51" s="482"/>
      <c r="H51" s="482"/>
      <c r="I51" s="220"/>
      <c r="J51" s="220"/>
      <c r="K51" s="484"/>
      <c r="L51" s="480"/>
      <c r="M51" s="255"/>
    </row>
    <row r="52" spans="2:13" ht="16.2" customHeight="1" x14ac:dyDescent="0.45">
      <c r="B52" s="256"/>
      <c r="C52" s="490" t="s">
        <v>321</v>
      </c>
      <c r="D52" s="490"/>
      <c r="E52" s="490"/>
      <c r="F52" s="490"/>
      <c r="G52" s="490"/>
      <c r="H52" s="490"/>
      <c r="I52" s="233"/>
      <c r="J52" s="233"/>
      <c r="K52" s="233"/>
      <c r="L52" s="261">
        <v>12090</v>
      </c>
      <c r="M52" s="174"/>
    </row>
    <row r="53" spans="2:13" ht="16.2" customHeight="1" thickBot="1" x14ac:dyDescent="0.5">
      <c r="B53" s="254"/>
      <c r="C53" s="491" t="s">
        <v>322</v>
      </c>
      <c r="D53" s="491"/>
      <c r="E53" s="491"/>
      <c r="F53" s="491"/>
      <c r="G53" s="491"/>
      <c r="H53" s="491"/>
      <c r="I53" s="221"/>
      <c r="J53" s="230"/>
      <c r="K53" s="230"/>
      <c r="L53" s="262">
        <f>5.75-1.15</f>
        <v>4.5999999999999996</v>
      </c>
      <c r="M53" s="255"/>
    </row>
    <row r="54" spans="2:13" ht="13.5" customHeight="1" x14ac:dyDescent="0.4">
      <c r="B54" s="251"/>
      <c r="C54" s="488" t="s">
        <v>300</v>
      </c>
      <c r="D54" s="488"/>
      <c r="E54" s="488"/>
      <c r="F54" s="488"/>
      <c r="G54" s="488"/>
      <c r="H54" s="488"/>
      <c r="I54" s="260"/>
      <c r="J54" s="260"/>
      <c r="K54" s="485" t="s">
        <v>326</v>
      </c>
      <c r="L54" s="477">
        <f>SUM(L50:L53)</f>
        <v>59947.06</v>
      </c>
      <c r="M54" s="253"/>
    </row>
    <row r="55" spans="2:13" ht="13.5" customHeight="1" thickBot="1" x14ac:dyDescent="0.45">
      <c r="B55" s="257"/>
      <c r="C55" s="489"/>
      <c r="D55" s="489"/>
      <c r="E55" s="489"/>
      <c r="F55" s="489"/>
      <c r="G55" s="489"/>
      <c r="H55" s="489"/>
      <c r="I55" s="258"/>
      <c r="J55" s="258"/>
      <c r="K55" s="486"/>
      <c r="L55" s="478"/>
      <c r="M55" s="259"/>
    </row>
    <row r="56" spans="2:13" ht="13.5" customHeight="1" x14ac:dyDescent="0.4">
      <c r="C56" s="8"/>
      <c r="D56" s="8"/>
      <c r="E56" s="13"/>
      <c r="F56" s="13"/>
      <c r="G56" s="13"/>
      <c r="H56" s="13"/>
      <c r="I56" s="13"/>
      <c r="J56" s="13"/>
      <c r="K56" s="13"/>
      <c r="L56" s="15"/>
      <c r="M56" s="8"/>
    </row>
    <row r="57" spans="2:13" ht="13.5" customHeight="1" x14ac:dyDescent="0.4">
      <c r="C57" s="8"/>
      <c r="D57" s="8"/>
      <c r="E57" s="13"/>
      <c r="F57" s="13"/>
      <c r="G57" s="13"/>
      <c r="H57" s="13"/>
      <c r="I57" s="13"/>
      <c r="J57" s="13"/>
      <c r="K57" s="13"/>
      <c r="L57" s="15"/>
      <c r="M57" s="8"/>
    </row>
    <row r="58" spans="2:13" ht="13.5" customHeight="1" x14ac:dyDescent="0.4">
      <c r="C58" s="8"/>
      <c r="D58" s="8"/>
      <c r="E58" s="13"/>
      <c r="F58" s="13"/>
      <c r="G58" s="13"/>
      <c r="H58" s="13"/>
      <c r="I58" s="13"/>
      <c r="J58" s="13"/>
      <c r="K58" s="13"/>
      <c r="L58" s="15"/>
      <c r="M58" s="8"/>
    </row>
    <row r="59" spans="2:13" ht="13.5" customHeight="1" x14ac:dyDescent="0.4">
      <c r="C59" s="237" t="s">
        <v>13</v>
      </c>
      <c r="D59" s="235"/>
      <c r="E59" s="235"/>
      <c r="F59" s="235"/>
      <c r="G59" s="237" t="s">
        <v>82</v>
      </c>
      <c r="H59" s="235"/>
      <c r="I59" s="237" t="s">
        <v>289</v>
      </c>
      <c r="J59" s="235"/>
      <c r="K59" s="235"/>
      <c r="L59" s="235" t="s">
        <v>261</v>
      </c>
      <c r="M59" s="8"/>
    </row>
    <row r="60" spans="2:13" ht="13.5" customHeight="1" x14ac:dyDescent="0.4"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</row>
    <row r="61" spans="2:13" ht="20.149999999999999" customHeight="1" x14ac:dyDescent="0.4">
      <c r="C61" s="234" t="s">
        <v>290</v>
      </c>
      <c r="D61" s="235"/>
      <c r="E61" s="235"/>
      <c r="F61" s="235"/>
      <c r="G61" s="234" t="s">
        <v>14</v>
      </c>
      <c r="H61" s="235"/>
      <c r="I61" s="234" t="s">
        <v>17</v>
      </c>
      <c r="J61" s="235"/>
      <c r="K61" s="235"/>
      <c r="L61" s="234" t="s">
        <v>8</v>
      </c>
      <c r="M61" s="8"/>
    </row>
    <row r="62" spans="2:13" ht="13.5" customHeight="1" x14ac:dyDescent="0.4">
      <c r="C62" s="19" t="s">
        <v>317</v>
      </c>
      <c r="D62" s="8"/>
      <c r="E62" s="8"/>
      <c r="F62" s="8"/>
      <c r="G62" s="19" t="s">
        <v>15</v>
      </c>
      <c r="H62" s="8"/>
      <c r="I62" s="19" t="s">
        <v>292</v>
      </c>
      <c r="J62" s="8"/>
      <c r="K62" s="8"/>
      <c r="L62" s="19" t="s">
        <v>262</v>
      </c>
      <c r="M62" s="8"/>
    </row>
    <row r="63" spans="2:13" ht="13.5" customHeight="1" x14ac:dyDescent="0.4"/>
    <row r="64" spans="2:13" ht="13.5" customHeight="1" x14ac:dyDescent="0.4"/>
    <row r="65" ht="13.5" customHeight="1" x14ac:dyDescent="0.4"/>
    <row r="66" ht="13.5" customHeight="1" x14ac:dyDescent="0.4"/>
    <row r="67" ht="13.5" customHeight="1" x14ac:dyDescent="0.4"/>
    <row r="68" ht="13.5" customHeight="1" x14ac:dyDescent="0.4"/>
  </sheetData>
  <mergeCells count="18">
    <mergeCell ref="C5:L5"/>
    <mergeCell ref="C7:L7"/>
    <mergeCell ref="C4:M4"/>
    <mergeCell ref="C6:L6"/>
    <mergeCell ref="C16:E16"/>
    <mergeCell ref="C14:E14"/>
    <mergeCell ref="O47:P47"/>
    <mergeCell ref="E28:H28"/>
    <mergeCell ref="C8:L8"/>
    <mergeCell ref="L54:L55"/>
    <mergeCell ref="L50:L51"/>
    <mergeCell ref="C50:H51"/>
    <mergeCell ref="K50:K51"/>
    <mergeCell ref="K54:K55"/>
    <mergeCell ref="G34:I34"/>
    <mergeCell ref="C54:H55"/>
    <mergeCell ref="C52:H52"/>
    <mergeCell ref="C53:H53"/>
  </mergeCells>
  <pageMargins left="0.19685039370078741" right="0.19685039370078741" top="0" bottom="0" header="0.31496062992125984" footer="0.31496062992125984"/>
  <pageSetup paperSize="9" scale="85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AE6531-04E0-4C7B-86EA-92A86F24319D}">
  <dimension ref="B1:R71"/>
  <sheetViews>
    <sheetView topLeftCell="A7" workbookViewId="0">
      <selection activeCell="L62" sqref="L62"/>
    </sheetView>
  </sheetViews>
  <sheetFormatPr defaultRowHeight="14.6" x14ac:dyDescent="0.4"/>
  <cols>
    <col min="1" max="1" width="3.3046875" customWidth="1"/>
    <col min="2" max="2" width="1" customWidth="1"/>
    <col min="3" max="3" width="15.3046875" customWidth="1"/>
    <col min="4" max="4" width="0.53515625" customWidth="1"/>
    <col min="6" max="6" width="0.84375" customWidth="1"/>
    <col min="7" max="7" width="12" customWidth="1"/>
    <col min="8" max="8" width="19.07421875" customWidth="1"/>
    <col min="9" max="9" width="18.3046875" customWidth="1"/>
    <col min="10" max="10" width="17.07421875" customWidth="1"/>
    <col min="11" max="11" width="3" customWidth="1"/>
    <col min="12" max="12" width="19.53515625" customWidth="1"/>
    <col min="13" max="13" width="1" customWidth="1"/>
    <col min="14" max="14" width="12.84375" customWidth="1"/>
    <col min="15" max="15" width="9.53515625" bestFit="1" customWidth="1"/>
    <col min="16" max="16" width="9.84375" customWidth="1"/>
  </cols>
  <sheetData>
    <row r="1" spans="3:14" ht="6" customHeight="1" x14ac:dyDescent="0.4"/>
    <row r="2" spans="3:14" ht="6" customHeight="1" x14ac:dyDescent="0.4"/>
    <row r="3" spans="3:14" ht="6" customHeight="1" x14ac:dyDescent="0.4"/>
    <row r="4" spans="3:14" ht="20.149999999999999" customHeight="1" x14ac:dyDescent="0.4">
      <c r="C4" s="476" t="s">
        <v>0</v>
      </c>
      <c r="D4" s="476"/>
      <c r="E4" s="476"/>
      <c r="F4" s="476"/>
      <c r="G4" s="476"/>
      <c r="H4" s="476"/>
      <c r="I4" s="476"/>
      <c r="J4" s="476"/>
      <c r="K4" s="476"/>
      <c r="L4" s="476"/>
      <c r="M4" s="476"/>
    </row>
    <row r="5" spans="3:14" ht="20.149999999999999" customHeight="1" x14ac:dyDescent="0.45">
      <c r="C5" s="492" t="s">
        <v>333</v>
      </c>
      <c r="D5" s="492"/>
      <c r="E5" s="492"/>
      <c r="F5" s="492"/>
      <c r="G5" s="492"/>
      <c r="H5" s="492"/>
      <c r="I5" s="492"/>
      <c r="J5" s="492"/>
      <c r="K5" s="492"/>
      <c r="L5" s="492"/>
      <c r="M5" s="243"/>
    </row>
    <row r="6" spans="3:14" ht="20.149999999999999" customHeight="1" x14ac:dyDescent="0.45">
      <c r="C6" s="492" t="s">
        <v>245</v>
      </c>
      <c r="D6" s="492"/>
      <c r="E6" s="492"/>
      <c r="F6" s="492"/>
      <c r="G6" s="492"/>
      <c r="H6" s="492"/>
      <c r="I6" s="492"/>
      <c r="J6" s="492"/>
      <c r="K6" s="492"/>
      <c r="L6" s="492"/>
      <c r="M6" s="243"/>
    </row>
    <row r="7" spans="3:14" ht="20.149999999999999" customHeight="1" x14ac:dyDescent="0.45">
      <c r="C7" s="476" t="s">
        <v>318</v>
      </c>
      <c r="D7" s="476"/>
      <c r="E7" s="476"/>
      <c r="F7" s="476"/>
      <c r="G7" s="476"/>
      <c r="H7" s="476"/>
      <c r="I7" s="476"/>
      <c r="J7" s="476"/>
      <c r="K7" s="476"/>
      <c r="L7" s="476"/>
      <c r="M7" s="243"/>
    </row>
    <row r="8" spans="3:14" ht="20.149999999999999" customHeight="1" x14ac:dyDescent="0.45">
      <c r="C8" s="476" t="s">
        <v>351</v>
      </c>
      <c r="D8" s="476"/>
      <c r="E8" s="476"/>
      <c r="F8" s="476"/>
      <c r="G8" s="476"/>
      <c r="H8" s="476"/>
      <c r="I8" s="476"/>
      <c r="J8" s="476"/>
      <c r="K8" s="476"/>
      <c r="L8" s="476"/>
      <c r="M8" s="221"/>
    </row>
    <row r="9" spans="3:14" ht="15" customHeight="1" x14ac:dyDescent="0.4">
      <c r="C9" s="8"/>
      <c r="D9" s="8"/>
      <c r="E9" s="8"/>
      <c r="F9" s="8"/>
      <c r="G9" s="8"/>
      <c r="H9" s="8"/>
      <c r="I9" s="8"/>
      <c r="J9" s="8"/>
      <c r="K9" s="8"/>
      <c r="L9" s="8"/>
      <c r="M9" s="8"/>
    </row>
    <row r="10" spans="3:14" ht="15" customHeight="1" x14ac:dyDescent="0.45">
      <c r="C10" s="220" t="s">
        <v>372</v>
      </c>
      <c r="D10" s="221"/>
      <c r="E10" s="221"/>
      <c r="F10" s="221"/>
      <c r="G10" s="221"/>
      <c r="H10" s="221"/>
      <c r="I10" s="221"/>
      <c r="J10" s="221"/>
      <c r="K10" s="247" t="s">
        <v>326</v>
      </c>
      <c r="L10" s="219">
        <v>2139.25</v>
      </c>
      <c r="M10" s="8"/>
      <c r="N10" s="135" t="s">
        <v>245</v>
      </c>
    </row>
    <row r="11" spans="3:14" ht="15" customHeight="1" x14ac:dyDescent="0.45">
      <c r="C11" s="221"/>
      <c r="D11" s="221"/>
      <c r="E11" s="221"/>
      <c r="F11" s="221"/>
      <c r="G11" s="221"/>
      <c r="H11" s="221"/>
      <c r="I11" s="221"/>
      <c r="J11" s="221"/>
      <c r="K11" s="8"/>
      <c r="L11" s="8"/>
      <c r="M11" s="8"/>
    </row>
    <row r="12" spans="3:14" ht="15" customHeight="1" x14ac:dyDescent="0.45">
      <c r="C12" s="220" t="s">
        <v>356</v>
      </c>
      <c r="D12" s="220"/>
      <c r="E12" s="221"/>
      <c r="F12" s="221"/>
      <c r="G12" s="221"/>
      <c r="H12" s="221"/>
      <c r="I12" s="221"/>
      <c r="J12" s="221"/>
      <c r="K12" s="8"/>
      <c r="L12" s="8"/>
      <c r="M12" s="8"/>
    </row>
    <row r="13" spans="3:14" ht="15" customHeight="1" x14ac:dyDescent="0.45">
      <c r="C13" s="221"/>
      <c r="D13" s="221"/>
      <c r="E13" s="221"/>
      <c r="F13" s="221"/>
      <c r="G13" s="221"/>
      <c r="H13" s="221"/>
      <c r="I13" s="226" t="s">
        <v>245</v>
      </c>
      <c r="J13" s="226" t="s">
        <v>245</v>
      </c>
      <c r="K13" s="19"/>
      <c r="L13" s="8"/>
      <c r="M13" s="8"/>
    </row>
    <row r="14" spans="3:14" ht="15" customHeight="1" x14ac:dyDescent="0.45">
      <c r="C14" s="476" t="s">
        <v>305</v>
      </c>
      <c r="D14" s="476"/>
      <c r="E14" s="476"/>
      <c r="F14" s="221"/>
      <c r="G14" s="221" t="s">
        <v>320</v>
      </c>
      <c r="H14" s="221"/>
      <c r="I14" s="226"/>
      <c r="J14" s="226"/>
      <c r="K14" s="19"/>
      <c r="L14" s="8"/>
      <c r="M14" s="8"/>
    </row>
    <row r="15" spans="3:14" ht="15" customHeight="1" x14ac:dyDescent="0.45">
      <c r="C15" s="238"/>
      <c r="D15" s="238"/>
      <c r="E15" s="238"/>
      <c r="F15" s="221"/>
      <c r="G15" s="221"/>
      <c r="H15" s="221"/>
      <c r="I15" s="226"/>
      <c r="J15" s="226"/>
      <c r="K15" s="19"/>
      <c r="L15" s="8"/>
      <c r="M15" s="8"/>
    </row>
    <row r="16" spans="3:14" ht="15" customHeight="1" x14ac:dyDescent="0.45">
      <c r="C16" s="476" t="s">
        <v>245</v>
      </c>
      <c r="D16" s="476"/>
      <c r="E16" s="476"/>
      <c r="F16" s="221"/>
      <c r="G16" s="221"/>
      <c r="H16" s="239" t="s">
        <v>316</v>
      </c>
      <c r="I16" s="239" t="s">
        <v>2</v>
      </c>
      <c r="J16" s="239" t="s">
        <v>306</v>
      </c>
      <c r="K16" s="19"/>
      <c r="L16" s="8"/>
      <c r="M16" s="8"/>
    </row>
    <row r="17" spans="3:15" ht="15" customHeight="1" x14ac:dyDescent="0.45">
      <c r="C17" s="221"/>
      <c r="D17" s="221"/>
      <c r="E17" s="226" t="s">
        <v>245</v>
      </c>
      <c r="F17" s="226"/>
      <c r="G17" s="240" t="s">
        <v>245</v>
      </c>
      <c r="H17" s="222" t="s">
        <v>245</v>
      </c>
      <c r="I17" s="241" t="s">
        <v>245</v>
      </c>
      <c r="J17" s="230" t="s">
        <v>245</v>
      </c>
      <c r="K17" s="201"/>
      <c r="L17" s="8"/>
      <c r="M17" s="8"/>
    </row>
    <row r="18" spans="3:15" ht="20.149999999999999" customHeight="1" x14ac:dyDescent="0.45">
      <c r="C18" s="221"/>
      <c r="D18" s="221"/>
      <c r="E18" s="226" t="s">
        <v>342</v>
      </c>
      <c r="F18" s="226"/>
      <c r="G18" s="240" t="s">
        <v>7</v>
      </c>
      <c r="H18" s="222">
        <v>2320</v>
      </c>
      <c r="I18" s="222">
        <v>150</v>
      </c>
      <c r="J18" s="222">
        <f>H18-I18</f>
        <v>2170</v>
      </c>
      <c r="K18" s="216"/>
      <c r="L18" s="8"/>
      <c r="M18" s="8"/>
    </row>
    <row r="19" spans="3:15" ht="20.149999999999999" customHeight="1" x14ac:dyDescent="0.45">
      <c r="C19" s="221"/>
      <c r="D19" s="221"/>
      <c r="E19" s="226" t="s">
        <v>342</v>
      </c>
      <c r="F19" s="226"/>
      <c r="G19" s="240">
        <v>10</v>
      </c>
      <c r="H19" s="223">
        <v>0</v>
      </c>
      <c r="I19" s="222">
        <v>0</v>
      </c>
      <c r="J19" s="222">
        <f>H19-I19</f>
        <v>0</v>
      </c>
      <c r="K19" s="216"/>
      <c r="L19" s="8"/>
      <c r="M19" s="8"/>
      <c r="N19" s="272" t="s">
        <v>355</v>
      </c>
    </row>
    <row r="20" spans="3:15" ht="20.149999999999999" customHeight="1" x14ac:dyDescent="0.45">
      <c r="C20" s="221"/>
      <c r="D20" s="221"/>
      <c r="E20" s="226" t="s">
        <v>342</v>
      </c>
      <c r="F20" s="226"/>
      <c r="G20" s="240">
        <v>17</v>
      </c>
      <c r="H20" s="223">
        <v>1288</v>
      </c>
      <c r="I20" s="222">
        <v>0</v>
      </c>
      <c r="J20" s="222">
        <f>H20-I20</f>
        <v>1288</v>
      </c>
      <c r="K20" s="216"/>
      <c r="L20" s="8"/>
      <c r="M20" s="8"/>
    </row>
    <row r="21" spans="3:15" ht="20.149999999999999" customHeight="1" x14ac:dyDescent="0.75">
      <c r="C21" s="221"/>
      <c r="D21" s="221"/>
      <c r="E21" s="226" t="s">
        <v>342</v>
      </c>
      <c r="F21" s="226"/>
      <c r="G21" s="240">
        <v>31</v>
      </c>
      <c r="H21" s="265">
        <f>930</f>
        <v>930</v>
      </c>
      <c r="I21" s="266">
        <v>900</v>
      </c>
      <c r="J21" s="266">
        <f>H21-I21</f>
        <v>30</v>
      </c>
      <c r="K21" s="216"/>
      <c r="L21" s="44" t="s">
        <v>245</v>
      </c>
      <c r="M21" s="8"/>
    </row>
    <row r="22" spans="3:15" ht="15" customHeight="1" x14ac:dyDescent="0.45">
      <c r="C22" s="221"/>
      <c r="D22" s="221"/>
      <c r="E22" s="226"/>
      <c r="F22" s="226"/>
      <c r="G22" s="240"/>
      <c r="H22" s="223"/>
      <c r="I22" s="222"/>
      <c r="J22" s="222"/>
      <c r="K22" s="216"/>
      <c r="L22" s="44"/>
      <c r="M22" s="8"/>
    </row>
    <row r="23" spans="3:15" ht="15" customHeight="1" x14ac:dyDescent="0.45">
      <c r="C23" s="221"/>
      <c r="D23" s="221"/>
      <c r="E23" s="238" t="s">
        <v>65</v>
      </c>
      <c r="F23" s="221"/>
      <c r="G23" s="226"/>
      <c r="H23" s="288">
        <f>SUM(H18:H21)</f>
        <v>4538</v>
      </c>
      <c r="I23" s="293">
        <f>SUM(I18:I21)</f>
        <v>1050</v>
      </c>
      <c r="J23" s="248">
        <f>SUM(J18:J21)</f>
        <v>3488</v>
      </c>
      <c r="K23" s="218"/>
      <c r="L23" s="44" t="s">
        <v>245</v>
      </c>
      <c r="M23" s="8"/>
      <c r="N23" t="s">
        <v>245</v>
      </c>
      <c r="O23" s="135" t="s">
        <v>245</v>
      </c>
    </row>
    <row r="24" spans="3:15" ht="15" customHeight="1" x14ac:dyDescent="0.45">
      <c r="C24" s="221"/>
      <c r="D24" s="221"/>
      <c r="E24" s="221"/>
      <c r="F24" s="221"/>
      <c r="G24" s="226"/>
      <c r="H24" s="224"/>
      <c r="I24" s="222"/>
      <c r="J24" s="222"/>
      <c r="K24" s="216"/>
      <c r="L24" s="44"/>
      <c r="M24" s="8"/>
    </row>
    <row r="25" spans="3:15" ht="15.75" customHeight="1" x14ac:dyDescent="0.45">
      <c r="C25" s="220" t="s">
        <v>369</v>
      </c>
      <c r="D25" s="221"/>
      <c r="E25" s="221"/>
      <c r="F25" s="221"/>
      <c r="G25" s="226"/>
      <c r="H25" s="224"/>
      <c r="I25" s="222"/>
      <c r="J25" s="248">
        <v>10400</v>
      </c>
      <c r="K25" s="216"/>
      <c r="L25" s="44"/>
      <c r="M25" s="8"/>
    </row>
    <row r="26" spans="3:15" ht="15" customHeight="1" x14ac:dyDescent="0.45">
      <c r="C26" s="221"/>
      <c r="D26" s="221"/>
      <c r="E26" s="221"/>
      <c r="F26" s="221"/>
      <c r="G26" s="226"/>
      <c r="H26" s="224"/>
      <c r="I26" s="222"/>
      <c r="J26" s="222"/>
      <c r="K26" s="216"/>
      <c r="L26" s="44"/>
      <c r="M26" s="8"/>
    </row>
    <row r="27" spans="3:15" ht="15" customHeight="1" x14ac:dyDescent="0.45">
      <c r="C27" s="495" t="s">
        <v>376</v>
      </c>
      <c r="D27" s="495"/>
      <c r="E27" s="495"/>
      <c r="F27" s="495"/>
      <c r="G27" s="495"/>
      <c r="H27" s="495"/>
      <c r="I27" s="495"/>
      <c r="J27" s="219">
        <v>0</v>
      </c>
      <c r="K27" s="219"/>
      <c r="L27" s="225" t="s">
        <v>245</v>
      </c>
      <c r="M27" s="8"/>
    </row>
    <row r="28" spans="3:15" ht="15" customHeight="1" x14ac:dyDescent="0.45">
      <c r="C28" s="220"/>
      <c r="D28" s="221"/>
      <c r="E28" s="221"/>
      <c r="F28" s="221"/>
      <c r="G28" s="221"/>
      <c r="H28" s="226"/>
      <c r="I28" s="230"/>
      <c r="J28" s="219"/>
      <c r="K28" s="219"/>
      <c r="L28" s="225"/>
      <c r="M28" s="8"/>
    </row>
    <row r="29" spans="3:15" ht="22.95" customHeight="1" x14ac:dyDescent="0.85">
      <c r="C29" s="220"/>
      <c r="D29" s="221"/>
      <c r="E29" s="475" t="s">
        <v>377</v>
      </c>
      <c r="F29" s="475"/>
      <c r="G29" s="475"/>
      <c r="H29" s="475"/>
      <c r="I29" s="230"/>
      <c r="J29" s="294">
        <f>'Mar_2024_Sched A'!I37</f>
        <v>700</v>
      </c>
      <c r="K29" s="219"/>
      <c r="L29" s="264">
        <f>J23+J25+J29</f>
        <v>14588</v>
      </c>
      <c r="M29" s="8"/>
      <c r="N29" s="135">
        <v>14438</v>
      </c>
      <c r="O29" s="273">
        <f>550-J29</f>
        <v>-150</v>
      </c>
    </row>
    <row r="30" spans="3:15" ht="15" customHeight="1" x14ac:dyDescent="0.75">
      <c r="C30" s="242"/>
      <c r="D30" s="236"/>
      <c r="E30" s="243"/>
      <c r="F30" s="236"/>
      <c r="G30" s="226"/>
      <c r="H30" s="226"/>
      <c r="I30" s="226"/>
      <c r="J30" s="222"/>
      <c r="K30" s="222"/>
      <c r="L30" s="244"/>
      <c r="M30" s="8"/>
    </row>
    <row r="31" spans="3:15" ht="15" customHeight="1" x14ac:dyDescent="0.45">
      <c r="C31" s="220" t="s">
        <v>313</v>
      </c>
      <c r="D31" s="220"/>
      <c r="E31" s="221"/>
      <c r="F31" s="221"/>
      <c r="G31" s="221"/>
      <c r="H31" s="221"/>
      <c r="I31" s="221"/>
      <c r="J31" s="221"/>
      <c r="K31" s="247" t="s">
        <v>326</v>
      </c>
      <c r="L31" s="219">
        <f>L29+L10</f>
        <v>16727.25</v>
      </c>
      <c r="M31" s="8"/>
      <c r="N31" t="s">
        <v>245</v>
      </c>
    </row>
    <row r="32" spans="3:15" ht="13.5" customHeight="1" x14ac:dyDescent="0.45">
      <c r="C32" s="220"/>
      <c r="D32" s="220"/>
      <c r="E32" s="221"/>
      <c r="F32" s="221"/>
      <c r="G32" s="221"/>
      <c r="H32" s="221"/>
      <c r="I32" s="221"/>
      <c r="J32" s="221"/>
      <c r="K32" s="221"/>
      <c r="L32" s="221"/>
      <c r="M32" s="8"/>
    </row>
    <row r="33" spans="3:13" ht="13.5" customHeight="1" x14ac:dyDescent="0.45">
      <c r="C33" s="220" t="s">
        <v>388</v>
      </c>
      <c r="D33" s="220"/>
      <c r="E33" s="221"/>
      <c r="F33" s="221"/>
      <c r="G33" s="221"/>
      <c r="H33" s="221"/>
      <c r="I33" s="221"/>
      <c r="J33" s="221"/>
      <c r="K33" s="221"/>
      <c r="L33" s="221"/>
      <c r="M33" s="8"/>
    </row>
    <row r="34" spans="3:13" ht="15" customHeight="1" x14ac:dyDescent="0.45">
      <c r="C34" s="221" t="s">
        <v>245</v>
      </c>
      <c r="D34" s="221"/>
      <c r="E34" s="221" t="s">
        <v>245</v>
      </c>
      <c r="F34" s="221"/>
      <c r="G34" s="221"/>
      <c r="H34" s="221"/>
      <c r="I34" s="221"/>
      <c r="J34" s="221"/>
      <c r="K34" s="221"/>
      <c r="L34" s="221"/>
      <c r="M34" s="8"/>
    </row>
    <row r="35" spans="3:13" ht="15" customHeight="1" x14ac:dyDescent="0.45">
      <c r="C35" s="239" t="s">
        <v>5</v>
      </c>
      <c r="D35" s="226"/>
      <c r="E35" s="226" t="s">
        <v>257</v>
      </c>
      <c r="F35" s="226"/>
      <c r="G35" s="487" t="s">
        <v>373</v>
      </c>
      <c r="H35" s="487"/>
      <c r="I35" s="487"/>
      <c r="J35" s="236" t="s">
        <v>123</v>
      </c>
      <c r="K35" s="221"/>
      <c r="L35" s="226" t="s">
        <v>245</v>
      </c>
      <c r="M35" s="19"/>
    </row>
    <row r="36" spans="3:13" ht="15" customHeight="1" x14ac:dyDescent="0.45">
      <c r="C36" s="226"/>
      <c r="D36" s="226"/>
      <c r="E36" s="226"/>
      <c r="F36" s="226"/>
      <c r="G36" s="221"/>
      <c r="H36" s="221"/>
      <c r="I36" s="221"/>
      <c r="J36" s="221"/>
      <c r="K36" s="221"/>
      <c r="L36" s="226"/>
      <c r="M36" s="19"/>
    </row>
    <row r="37" spans="3:13" ht="20.149999999999999" customHeight="1" x14ac:dyDescent="0.45">
      <c r="C37" s="227" t="s">
        <v>375</v>
      </c>
      <c r="D37" s="226"/>
      <c r="E37" s="226"/>
      <c r="F37" s="226"/>
      <c r="G37" s="228" t="s">
        <v>357</v>
      </c>
      <c r="H37" s="221"/>
      <c r="I37" s="221"/>
      <c r="J37" s="222">
        <v>1326.6</v>
      </c>
      <c r="K37" s="222"/>
      <c r="L37" s="222"/>
      <c r="M37" s="19"/>
    </row>
    <row r="38" spans="3:13" ht="20.149999999999999" customHeight="1" x14ac:dyDescent="0.45">
      <c r="C38" s="227" t="s">
        <v>375</v>
      </c>
      <c r="D38" s="226"/>
      <c r="E38" s="226"/>
      <c r="F38" s="226"/>
      <c r="G38" s="228" t="s">
        <v>358</v>
      </c>
      <c r="H38" s="221"/>
      <c r="I38" s="221"/>
      <c r="J38" s="222">
        <v>141.1</v>
      </c>
      <c r="K38" s="222"/>
      <c r="L38" s="222"/>
      <c r="M38" s="19"/>
    </row>
    <row r="39" spans="3:13" ht="20.149999999999999" customHeight="1" x14ac:dyDescent="0.45">
      <c r="C39" s="227" t="s">
        <v>361</v>
      </c>
      <c r="D39" s="226"/>
      <c r="E39" s="226"/>
      <c r="F39" s="226"/>
      <c r="G39" s="228" t="s">
        <v>362</v>
      </c>
      <c r="H39" s="221"/>
      <c r="I39" s="221"/>
      <c r="J39" s="222">
        <v>699</v>
      </c>
      <c r="K39" s="222"/>
      <c r="L39" s="222"/>
      <c r="M39" s="19"/>
    </row>
    <row r="40" spans="3:13" ht="20.149999999999999" customHeight="1" x14ac:dyDescent="0.45">
      <c r="C40" s="227" t="s">
        <v>363</v>
      </c>
      <c r="D40" s="226"/>
      <c r="E40" s="226"/>
      <c r="F40" s="226"/>
      <c r="G40" s="228" t="s">
        <v>364</v>
      </c>
      <c r="H40" s="221"/>
      <c r="I40" s="221"/>
      <c r="J40" s="222">
        <v>400</v>
      </c>
      <c r="K40" s="222"/>
      <c r="L40" s="222"/>
      <c r="M40" s="19"/>
    </row>
    <row r="41" spans="3:13" ht="20.149999999999999" customHeight="1" x14ac:dyDescent="0.45">
      <c r="C41" s="227" t="s">
        <v>359</v>
      </c>
      <c r="D41" s="227"/>
      <c r="E41" s="229"/>
      <c r="F41" s="229"/>
      <c r="G41" s="228" t="s">
        <v>360</v>
      </c>
      <c r="H41" s="221"/>
      <c r="I41" s="221"/>
      <c r="J41" s="230">
        <v>559.75</v>
      </c>
      <c r="K41" s="230"/>
      <c r="L41" s="230"/>
      <c r="M41" s="201"/>
    </row>
    <row r="42" spans="3:13" ht="20.149999999999999" customHeight="1" x14ac:dyDescent="0.45">
      <c r="C42" s="227" t="s">
        <v>359</v>
      </c>
      <c r="D42" s="227"/>
      <c r="E42" s="229"/>
      <c r="F42" s="229"/>
      <c r="G42" s="228" t="s">
        <v>365</v>
      </c>
      <c r="H42" s="221"/>
      <c r="I42" s="221"/>
      <c r="J42" s="230">
        <v>250</v>
      </c>
      <c r="K42" s="230"/>
      <c r="L42" s="230"/>
      <c r="M42" s="201"/>
    </row>
    <row r="43" spans="3:13" ht="20.149999999999999" customHeight="1" x14ac:dyDescent="0.85">
      <c r="C43" s="227" t="s">
        <v>366</v>
      </c>
      <c r="D43" s="227"/>
      <c r="E43" s="229"/>
      <c r="F43" s="229"/>
      <c r="G43" s="286" t="s">
        <v>367</v>
      </c>
      <c r="H43" s="287"/>
      <c r="I43" s="287"/>
      <c r="J43" s="271">
        <f>1300+200</f>
        <v>1500</v>
      </c>
      <c r="K43" s="230"/>
      <c r="L43" s="263">
        <f>SUM(J37:J43)</f>
        <v>4876.45</v>
      </c>
      <c r="M43" s="201"/>
    </row>
    <row r="44" spans="3:13" ht="15" customHeight="1" x14ac:dyDescent="0.45">
      <c r="C44" s="227"/>
      <c r="D44" s="227"/>
      <c r="E44" s="229"/>
      <c r="F44" s="229"/>
      <c r="G44" s="228"/>
      <c r="H44" s="221"/>
      <c r="I44" s="221"/>
      <c r="J44" s="230"/>
      <c r="K44" s="230"/>
      <c r="L44" s="230"/>
      <c r="M44" s="201"/>
    </row>
    <row r="45" spans="3:13" ht="20.149999999999999" customHeight="1" x14ac:dyDescent="0.45">
      <c r="C45" s="220" t="s">
        <v>327</v>
      </c>
      <c r="D45" s="220"/>
      <c r="E45" s="221"/>
      <c r="F45" s="221"/>
      <c r="G45" s="221"/>
      <c r="H45" s="221"/>
      <c r="I45" s="221"/>
      <c r="J45" s="221"/>
      <c r="K45" s="221"/>
      <c r="L45" s="231">
        <f>L31-L43</f>
        <v>11850.8</v>
      </c>
      <c r="M45" s="44"/>
    </row>
    <row r="46" spans="3:13" ht="13.5" customHeight="1" x14ac:dyDescent="0.45">
      <c r="C46" s="221"/>
      <c r="D46" s="221"/>
      <c r="E46" s="221"/>
      <c r="F46" s="221"/>
      <c r="G46" s="221"/>
      <c r="H46" s="221"/>
      <c r="I46" s="221"/>
      <c r="J46" s="221"/>
      <c r="K46" s="221"/>
      <c r="L46" s="225"/>
      <c r="M46" s="44"/>
    </row>
    <row r="47" spans="3:13" ht="20.149999999999999" customHeight="1" x14ac:dyDescent="0.85">
      <c r="C47" s="220" t="s">
        <v>368</v>
      </c>
      <c r="D47" s="221"/>
      <c r="E47" s="221"/>
      <c r="F47" s="221"/>
      <c r="G47" s="221"/>
      <c r="H47" s="221"/>
      <c r="I47" s="221"/>
      <c r="J47" s="221"/>
      <c r="K47" s="221"/>
      <c r="L47" s="264">
        <v>882.55</v>
      </c>
      <c r="M47" s="44"/>
    </row>
    <row r="48" spans="3:13" ht="13.5" customHeight="1" x14ac:dyDescent="0.45">
      <c r="C48" s="221"/>
      <c r="D48" s="221"/>
      <c r="E48" s="221"/>
      <c r="F48" s="221"/>
      <c r="G48" s="221"/>
      <c r="H48" s="221"/>
      <c r="I48" s="221"/>
      <c r="J48" s="221"/>
      <c r="K48" s="221"/>
      <c r="L48" s="225"/>
      <c r="M48" s="44"/>
    </row>
    <row r="49" spans="2:18" ht="24.45" customHeight="1" thickBot="1" x14ac:dyDescent="0.5">
      <c r="C49" s="220" t="s">
        <v>354</v>
      </c>
      <c r="D49" s="221"/>
      <c r="E49" s="221"/>
      <c r="F49" s="221"/>
      <c r="G49" s="221"/>
      <c r="H49" s="221"/>
      <c r="I49" s="221"/>
      <c r="J49" s="221"/>
      <c r="K49" s="245" t="s">
        <v>326</v>
      </c>
      <c r="L49" s="232">
        <f>L45-L47</f>
        <v>10968.25</v>
      </c>
      <c r="M49" s="8"/>
      <c r="N49" s="2">
        <f>L45-L47</f>
        <v>10968.25</v>
      </c>
      <c r="O49" s="135"/>
      <c r="P49" s="135"/>
      <c r="Q49" s="135"/>
      <c r="R49" s="135"/>
    </row>
    <row r="50" spans="2:18" ht="13.5" customHeight="1" thickTop="1" x14ac:dyDescent="0.45">
      <c r="C50" s="221"/>
      <c r="D50" s="221"/>
      <c r="E50" s="220"/>
      <c r="F50" s="220"/>
      <c r="G50" s="221"/>
      <c r="H50" s="221"/>
      <c r="I50" s="221"/>
      <c r="J50" s="221"/>
      <c r="K50" s="221"/>
      <c r="L50" s="221"/>
      <c r="M50" s="8"/>
      <c r="N50" s="135"/>
      <c r="O50" s="474"/>
      <c r="P50" s="474"/>
    </row>
    <row r="51" spans="2:18" ht="13.5" customHeight="1" x14ac:dyDescent="0.45">
      <c r="C51" s="221"/>
      <c r="D51" s="221"/>
      <c r="E51" s="220"/>
      <c r="F51" s="220"/>
      <c r="G51" s="221"/>
      <c r="H51" s="221"/>
      <c r="I51" s="221"/>
      <c r="J51" s="221"/>
      <c r="K51" s="221"/>
      <c r="L51" s="221"/>
      <c r="M51" s="8"/>
      <c r="N51" s="270"/>
    </row>
    <row r="52" spans="2:18" ht="13.5" customHeight="1" thickBot="1" x14ac:dyDescent="0.45">
      <c r="C52" s="8"/>
      <c r="D52" s="8"/>
      <c r="E52" s="13"/>
      <c r="F52" s="13"/>
      <c r="G52" s="8"/>
      <c r="H52" s="8"/>
      <c r="I52" s="8"/>
      <c r="J52" s="8"/>
      <c r="K52" s="8"/>
      <c r="L52" s="8"/>
      <c r="M52" s="8"/>
    </row>
    <row r="53" spans="2:18" ht="13.5" customHeight="1" x14ac:dyDescent="0.45">
      <c r="B53" s="251"/>
      <c r="C53" s="493" t="s">
        <v>300</v>
      </c>
      <c r="D53" s="493"/>
      <c r="E53" s="493"/>
      <c r="F53" s="493"/>
      <c r="G53" s="493"/>
      <c r="H53" s="493"/>
      <c r="I53" s="252"/>
      <c r="J53" s="252"/>
      <c r="K53" s="483" t="s">
        <v>326</v>
      </c>
      <c r="L53" s="479">
        <v>59947.06</v>
      </c>
      <c r="M53" s="253"/>
    </row>
    <row r="54" spans="2:18" ht="11.15" customHeight="1" x14ac:dyDescent="0.4">
      <c r="B54" s="254"/>
      <c r="C54" s="494"/>
      <c r="D54" s="494"/>
      <c r="E54" s="494"/>
      <c r="F54" s="494"/>
      <c r="G54" s="494"/>
      <c r="H54" s="494"/>
      <c r="I54" s="220"/>
      <c r="J54" s="220"/>
      <c r="K54" s="484"/>
      <c r="L54" s="480"/>
      <c r="M54" s="255"/>
    </row>
    <row r="55" spans="2:18" ht="16.2" customHeight="1" x14ac:dyDescent="0.4">
      <c r="B55" s="256"/>
      <c r="C55" s="496" t="s">
        <v>352</v>
      </c>
      <c r="D55" s="496"/>
      <c r="E55" s="496"/>
      <c r="F55" s="496"/>
      <c r="G55" s="496"/>
      <c r="H55" s="496"/>
      <c r="I55" s="233"/>
      <c r="J55" s="233"/>
      <c r="K55" s="233"/>
      <c r="L55" s="261">
        <v>882.55</v>
      </c>
      <c r="M55" s="174"/>
    </row>
    <row r="56" spans="2:18" ht="16.2" customHeight="1" thickBot="1" x14ac:dyDescent="0.5">
      <c r="B56" s="254"/>
      <c r="C56" s="497" t="s">
        <v>322</v>
      </c>
      <c r="D56" s="497"/>
      <c r="E56" s="497"/>
      <c r="F56" s="497"/>
      <c r="G56" s="497"/>
      <c r="H56" s="497"/>
      <c r="I56" s="221"/>
      <c r="J56" s="230"/>
      <c r="K56" s="230"/>
      <c r="L56" s="262">
        <f>6.53-1.31</f>
        <v>5.2200000000000006</v>
      </c>
      <c r="M56" s="255"/>
    </row>
    <row r="57" spans="2:18" ht="13.5" customHeight="1" x14ac:dyDescent="0.4">
      <c r="B57" s="251"/>
      <c r="C57" s="498" t="s">
        <v>353</v>
      </c>
      <c r="D57" s="498"/>
      <c r="E57" s="498"/>
      <c r="F57" s="498"/>
      <c r="G57" s="498"/>
      <c r="H57" s="498"/>
      <c r="I57" s="260"/>
      <c r="J57" s="260"/>
      <c r="K57" s="485" t="s">
        <v>326</v>
      </c>
      <c r="L57" s="477">
        <f>SUM(L53:L56)</f>
        <v>60834.83</v>
      </c>
      <c r="M57" s="253"/>
    </row>
    <row r="58" spans="2:18" ht="13.5" customHeight="1" thickBot="1" x14ac:dyDescent="0.45">
      <c r="B58" s="257"/>
      <c r="C58" s="499"/>
      <c r="D58" s="499"/>
      <c r="E58" s="499"/>
      <c r="F58" s="499"/>
      <c r="G58" s="499"/>
      <c r="H58" s="499"/>
      <c r="I58" s="258"/>
      <c r="J58" s="258"/>
      <c r="K58" s="486"/>
      <c r="L58" s="478"/>
      <c r="M58" s="259"/>
    </row>
    <row r="59" spans="2:18" ht="13.5" customHeight="1" x14ac:dyDescent="0.4">
      <c r="C59" s="8"/>
      <c r="D59" s="8"/>
      <c r="E59" s="13"/>
      <c r="F59" s="13"/>
      <c r="G59" s="13"/>
      <c r="H59" s="13"/>
      <c r="I59" s="13"/>
      <c r="J59" s="13"/>
      <c r="K59" s="13"/>
      <c r="L59" s="15"/>
      <c r="M59" s="8"/>
    </row>
    <row r="60" spans="2:18" ht="13.5" customHeight="1" x14ac:dyDescent="0.4">
      <c r="C60" s="8"/>
      <c r="D60" s="8"/>
      <c r="E60" s="13"/>
      <c r="F60" s="13"/>
      <c r="G60" s="13"/>
      <c r="H60" s="13"/>
      <c r="I60" s="13"/>
      <c r="J60" s="13"/>
      <c r="K60" s="13"/>
      <c r="L60" s="15"/>
      <c r="M60" s="8"/>
    </row>
    <row r="61" spans="2:18" ht="13.5" customHeight="1" x14ac:dyDescent="0.4">
      <c r="C61" s="8"/>
      <c r="D61" s="8"/>
      <c r="E61" s="13"/>
      <c r="F61" s="13"/>
      <c r="G61" s="13"/>
      <c r="H61" s="13"/>
      <c r="I61" s="13"/>
      <c r="J61" s="13"/>
      <c r="K61" s="13"/>
      <c r="L61" s="15"/>
      <c r="M61" s="8"/>
    </row>
    <row r="62" spans="2:18" ht="13.5" customHeight="1" x14ac:dyDescent="0.4">
      <c r="C62" s="237" t="s">
        <v>13</v>
      </c>
      <c r="D62" s="235"/>
      <c r="E62" s="235"/>
      <c r="F62" s="235"/>
      <c r="G62" s="237" t="s">
        <v>82</v>
      </c>
      <c r="H62" s="235"/>
      <c r="I62" s="237" t="s">
        <v>289</v>
      </c>
      <c r="J62" s="235"/>
      <c r="K62" s="235"/>
      <c r="L62" s="235" t="s">
        <v>261</v>
      </c>
      <c r="M62" s="8"/>
    </row>
    <row r="63" spans="2:18" ht="13.5" customHeight="1" x14ac:dyDescent="0.4"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</row>
    <row r="64" spans="2:18" ht="20.149999999999999" customHeight="1" x14ac:dyDescent="0.4">
      <c r="C64" s="234" t="s">
        <v>290</v>
      </c>
      <c r="D64" s="235"/>
      <c r="E64" s="235"/>
      <c r="F64" s="235"/>
      <c r="G64" s="234" t="s">
        <v>14</v>
      </c>
      <c r="H64" s="235"/>
      <c r="I64" s="234" t="s">
        <v>17</v>
      </c>
      <c r="J64" s="235"/>
      <c r="K64" s="235"/>
      <c r="L64" s="234" t="s">
        <v>8</v>
      </c>
      <c r="M64" s="8"/>
    </row>
    <row r="65" spans="3:13" ht="13.5" customHeight="1" x14ac:dyDescent="0.4">
      <c r="C65" s="19" t="s">
        <v>317</v>
      </c>
      <c r="D65" s="8"/>
      <c r="E65" s="8"/>
      <c r="F65" s="8"/>
      <c r="G65" s="19" t="s">
        <v>15</v>
      </c>
      <c r="H65" s="8"/>
      <c r="I65" s="19" t="s">
        <v>292</v>
      </c>
      <c r="J65" s="8"/>
      <c r="K65" s="8"/>
      <c r="L65" s="19" t="s">
        <v>262</v>
      </c>
      <c r="M65" s="8"/>
    </row>
    <row r="66" spans="3:13" ht="13.5" customHeight="1" x14ac:dyDescent="0.4"/>
    <row r="67" spans="3:13" ht="13.5" customHeight="1" x14ac:dyDescent="0.4"/>
    <row r="68" spans="3:13" ht="13.5" customHeight="1" x14ac:dyDescent="0.4"/>
    <row r="69" spans="3:13" ht="13.5" customHeight="1" x14ac:dyDescent="0.4"/>
    <row r="70" spans="3:13" ht="13.5" customHeight="1" x14ac:dyDescent="0.4"/>
    <row r="71" spans="3:13" ht="13.5" customHeight="1" x14ac:dyDescent="0.4"/>
  </sheetData>
  <mergeCells count="19">
    <mergeCell ref="C55:H55"/>
    <mergeCell ref="C56:H56"/>
    <mergeCell ref="C57:H58"/>
    <mergeCell ref="K57:K58"/>
    <mergeCell ref="L57:L58"/>
    <mergeCell ref="C16:E16"/>
    <mergeCell ref="E29:H29"/>
    <mergeCell ref="G35:I35"/>
    <mergeCell ref="O50:P50"/>
    <mergeCell ref="C53:H54"/>
    <mergeCell ref="K53:K54"/>
    <mergeCell ref="L53:L54"/>
    <mergeCell ref="C27:I27"/>
    <mergeCell ref="C14:E14"/>
    <mergeCell ref="C4:M4"/>
    <mergeCell ref="C5:L5"/>
    <mergeCell ref="C6:L6"/>
    <mergeCell ref="C7:L7"/>
    <mergeCell ref="C8:L8"/>
  </mergeCells>
  <pageMargins left="0.11811023622047245" right="0.11811023622047245" top="0" bottom="0" header="0.31496062992125984" footer="0.31496062992125984"/>
  <pageSetup paperSize="9" scale="75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76FFA1-FA13-40A3-95B6-CD041BA95816}">
  <dimension ref="B2:M58"/>
  <sheetViews>
    <sheetView topLeftCell="A22" workbookViewId="0">
      <selection activeCell="I39" sqref="I39"/>
    </sheetView>
  </sheetViews>
  <sheetFormatPr defaultRowHeight="14.6" x14ac:dyDescent="0.4"/>
  <cols>
    <col min="1" max="1" width="2.3046875" customWidth="1"/>
    <col min="2" max="2" width="13.3046875" customWidth="1"/>
    <col min="3" max="3" width="4.84375" customWidth="1"/>
    <col min="4" max="4" width="12.3046875" customWidth="1"/>
    <col min="5" max="5" width="1.53515625" customWidth="1"/>
    <col min="6" max="6" width="17.69140625" customWidth="1"/>
    <col min="7" max="7" width="22.3046875" customWidth="1"/>
    <col min="8" max="8" width="23.3046875" hidden="1" customWidth="1"/>
    <col min="9" max="9" width="11.84375" customWidth="1"/>
    <col min="10" max="10" width="13.69140625" customWidth="1"/>
    <col min="11" max="11" width="12.3046875" customWidth="1"/>
    <col min="12" max="12" width="13.69140625" customWidth="1"/>
    <col min="13" max="13" width="11.53515625" customWidth="1"/>
  </cols>
  <sheetData>
    <row r="2" spans="2:12" x14ac:dyDescent="0.4">
      <c r="B2" s="246" t="s">
        <v>329</v>
      </c>
    </row>
    <row r="3" spans="2:12" x14ac:dyDescent="0.4">
      <c r="B3" s="246"/>
    </row>
    <row r="4" spans="2:12" x14ac:dyDescent="0.4">
      <c r="B4" s="246"/>
    </row>
    <row r="5" spans="2:12" x14ac:dyDescent="0.4">
      <c r="B5" s="246"/>
    </row>
    <row r="6" spans="2:12" x14ac:dyDescent="0.4">
      <c r="B6" s="246"/>
    </row>
    <row r="7" spans="2:12" ht="14.15" customHeight="1" x14ac:dyDescent="0.4">
      <c r="B7" s="468" t="s">
        <v>0</v>
      </c>
      <c r="C7" s="468"/>
      <c r="D7" s="468"/>
      <c r="E7" s="468"/>
      <c r="F7" s="468"/>
      <c r="G7" s="468"/>
      <c r="H7" s="468"/>
      <c r="I7" s="468"/>
      <c r="J7" s="468"/>
      <c r="K7" s="468"/>
      <c r="L7" s="468"/>
    </row>
    <row r="8" spans="2:12" ht="14.15" customHeight="1" x14ac:dyDescent="0.4">
      <c r="B8" s="19"/>
      <c r="C8" s="19"/>
      <c r="D8" s="19"/>
      <c r="E8" s="19"/>
      <c r="F8" s="19"/>
      <c r="G8" s="19" t="s">
        <v>18</v>
      </c>
      <c r="H8" s="19"/>
      <c r="I8" s="19"/>
      <c r="J8" s="19"/>
      <c r="K8" s="19"/>
      <c r="L8" s="1"/>
    </row>
    <row r="9" spans="2:12" ht="14.15" customHeight="1" x14ac:dyDescent="0.4">
      <c r="B9" s="8"/>
      <c r="C9" s="8"/>
      <c r="D9" s="8"/>
      <c r="E9" s="8"/>
      <c r="F9" s="473" t="s">
        <v>340</v>
      </c>
      <c r="G9" s="473"/>
      <c r="H9" s="473"/>
      <c r="I9" s="473"/>
      <c r="J9" s="473"/>
      <c r="K9" s="8"/>
    </row>
    <row r="10" spans="2:12" ht="14.15" customHeight="1" thickBot="1" x14ac:dyDescent="0.45">
      <c r="B10" s="8"/>
      <c r="C10" s="8"/>
      <c r="D10" s="8"/>
      <c r="E10" s="8"/>
      <c r="F10" s="8"/>
      <c r="G10" s="8"/>
      <c r="H10" s="8"/>
      <c r="I10" s="8"/>
      <c r="J10" s="8"/>
      <c r="K10" s="8"/>
    </row>
    <row r="11" spans="2:12" ht="21.75" customHeight="1" x14ac:dyDescent="0.4">
      <c r="B11" s="145"/>
      <c r="C11" s="146"/>
      <c r="D11" s="147"/>
      <c r="E11" s="146"/>
      <c r="F11" s="168"/>
      <c r="G11" s="464" t="s">
        <v>304</v>
      </c>
      <c r="H11" s="464" t="s">
        <v>299</v>
      </c>
      <c r="I11" s="464" t="s">
        <v>293</v>
      </c>
      <c r="J11" s="472" t="s">
        <v>301</v>
      </c>
      <c r="K11" s="472"/>
      <c r="L11" s="464" t="s">
        <v>296</v>
      </c>
    </row>
    <row r="12" spans="2:12" ht="30" customHeight="1" thickBot="1" x14ac:dyDescent="0.45">
      <c r="B12" s="148" t="s">
        <v>5</v>
      </c>
      <c r="C12" s="149"/>
      <c r="D12" s="150" t="s">
        <v>309</v>
      </c>
      <c r="E12" s="149"/>
      <c r="F12" s="169" t="s">
        <v>1</v>
      </c>
      <c r="G12" s="465"/>
      <c r="H12" s="465"/>
      <c r="I12" s="465"/>
      <c r="J12" s="156" t="s">
        <v>302</v>
      </c>
      <c r="K12" s="144" t="s">
        <v>303</v>
      </c>
      <c r="L12" s="465"/>
    </row>
    <row r="13" spans="2:12" ht="16.2" customHeight="1" x14ac:dyDescent="0.4">
      <c r="B13" s="137" t="s">
        <v>342</v>
      </c>
      <c r="C13" s="19"/>
      <c r="D13" s="155"/>
      <c r="E13" s="19"/>
      <c r="F13" s="170"/>
      <c r="G13" s="110"/>
      <c r="H13" s="110"/>
      <c r="I13" s="157"/>
      <c r="J13" s="178"/>
      <c r="K13" s="183"/>
      <c r="L13" s="186"/>
    </row>
    <row r="14" spans="2:12" ht="16.2" customHeight="1" x14ac:dyDescent="0.4">
      <c r="B14" s="138" t="s">
        <v>7</v>
      </c>
      <c r="C14" s="139" t="s">
        <v>245</v>
      </c>
      <c r="D14" s="140">
        <v>2607</v>
      </c>
      <c r="E14" s="141"/>
      <c r="F14" s="171" t="s">
        <v>343</v>
      </c>
      <c r="G14" s="158">
        <v>100</v>
      </c>
      <c r="H14" s="158"/>
      <c r="I14" s="140"/>
      <c r="J14" s="114"/>
      <c r="K14" s="184"/>
      <c r="L14" s="163"/>
    </row>
    <row r="15" spans="2:12" ht="16.2" customHeight="1" x14ac:dyDescent="0.4">
      <c r="B15" s="138" t="s">
        <v>7</v>
      </c>
      <c r="C15" s="141"/>
      <c r="D15" s="140">
        <v>2608</v>
      </c>
      <c r="E15" s="141"/>
      <c r="F15" s="172" t="s">
        <v>41</v>
      </c>
      <c r="G15" s="158">
        <v>100</v>
      </c>
      <c r="H15" s="158"/>
      <c r="I15" s="140"/>
      <c r="J15" s="114"/>
      <c r="K15" s="184"/>
      <c r="L15" s="163"/>
    </row>
    <row r="16" spans="2:12" ht="16.2" customHeight="1" x14ac:dyDescent="0.4">
      <c r="B16" s="138" t="s">
        <v>7</v>
      </c>
      <c r="C16" s="141"/>
      <c r="D16" s="140">
        <v>2609</v>
      </c>
      <c r="E16" s="141"/>
      <c r="F16" s="172" t="s">
        <v>23</v>
      </c>
      <c r="G16" s="158">
        <v>200</v>
      </c>
      <c r="H16" s="159"/>
      <c r="I16" s="160" t="s">
        <v>245</v>
      </c>
      <c r="J16" s="114" t="s">
        <v>245</v>
      </c>
      <c r="K16" s="185" t="s">
        <v>245</v>
      </c>
      <c r="L16" s="167" t="s">
        <v>245</v>
      </c>
    </row>
    <row r="17" spans="2:13" ht="16.2" customHeight="1" x14ac:dyDescent="0.4">
      <c r="B17" s="138" t="s">
        <v>7</v>
      </c>
      <c r="C17" s="141"/>
      <c r="D17" s="140">
        <v>2610</v>
      </c>
      <c r="E17" s="141"/>
      <c r="F17" s="172" t="s">
        <v>344</v>
      </c>
      <c r="G17" s="158">
        <v>100</v>
      </c>
      <c r="H17" s="159"/>
      <c r="I17" s="160"/>
      <c r="J17" s="114"/>
      <c r="K17" s="185"/>
      <c r="L17" s="167"/>
    </row>
    <row r="18" spans="2:13" ht="16.2" customHeight="1" x14ac:dyDescent="0.4">
      <c r="B18" s="138" t="s">
        <v>7</v>
      </c>
      <c r="C18" s="141"/>
      <c r="D18" s="140">
        <v>2611</v>
      </c>
      <c r="E18" s="141"/>
      <c r="F18" s="172" t="s">
        <v>345</v>
      </c>
      <c r="G18" s="158">
        <v>100</v>
      </c>
      <c r="H18" s="159"/>
      <c r="I18" s="160"/>
      <c r="J18" s="114"/>
      <c r="K18" s="185"/>
      <c r="L18" s="167"/>
    </row>
    <row r="19" spans="2:13" ht="16.2" customHeight="1" x14ac:dyDescent="0.4">
      <c r="B19" s="138" t="s">
        <v>7</v>
      </c>
      <c r="C19" s="141"/>
      <c r="D19" s="140">
        <v>2612</v>
      </c>
      <c r="E19" s="141"/>
      <c r="F19" s="172" t="s">
        <v>14</v>
      </c>
      <c r="G19" s="158">
        <v>100</v>
      </c>
      <c r="H19" s="159"/>
      <c r="I19" s="160"/>
      <c r="J19" s="114"/>
      <c r="K19" s="185"/>
      <c r="L19" s="167"/>
    </row>
    <row r="20" spans="2:13" ht="16.2" customHeight="1" x14ac:dyDescent="0.4">
      <c r="B20" s="138" t="s">
        <v>7</v>
      </c>
      <c r="C20" s="141"/>
      <c r="D20" s="140">
        <v>2613</v>
      </c>
      <c r="E20" s="141"/>
      <c r="F20" s="172" t="s">
        <v>346</v>
      </c>
      <c r="G20" s="158">
        <v>150</v>
      </c>
      <c r="H20" s="159"/>
      <c r="I20" s="160"/>
      <c r="J20" s="114"/>
      <c r="K20" s="185"/>
      <c r="L20" s="167"/>
    </row>
    <row r="21" spans="2:13" ht="18" customHeight="1" x14ac:dyDescent="0.4">
      <c r="B21" s="154" t="s">
        <v>307</v>
      </c>
      <c r="D21" s="111"/>
      <c r="F21" s="109"/>
      <c r="G21" s="161">
        <f>SUM(G14:G20)</f>
        <v>850</v>
      </c>
      <c r="H21" s="161"/>
      <c r="I21" s="162">
        <f>G21-J21</f>
        <v>0</v>
      </c>
      <c r="J21" s="114">
        <v>850</v>
      </c>
      <c r="K21" s="185">
        <v>150</v>
      </c>
      <c r="L21" s="198">
        <f>J21+K21</f>
        <v>1000</v>
      </c>
    </row>
    <row r="22" spans="2:13" ht="16.2" customHeight="1" x14ac:dyDescent="0.4">
      <c r="B22" s="138">
        <v>17</v>
      </c>
      <c r="C22" s="141"/>
      <c r="D22" s="140">
        <v>2605</v>
      </c>
      <c r="E22" s="141"/>
      <c r="F22" s="173" t="s">
        <v>348</v>
      </c>
      <c r="G22" s="158">
        <v>200</v>
      </c>
      <c r="H22" s="159"/>
      <c r="I22" s="160" t="s">
        <v>245</v>
      </c>
      <c r="J22" s="114" t="s">
        <v>245</v>
      </c>
      <c r="K22" s="185" t="s">
        <v>245</v>
      </c>
      <c r="L22" s="167" t="s">
        <v>245</v>
      </c>
      <c r="M22" s="135" t="s">
        <v>245</v>
      </c>
    </row>
    <row r="23" spans="2:13" ht="16.2" customHeight="1" x14ac:dyDescent="0.4">
      <c r="B23" s="138">
        <v>17</v>
      </c>
      <c r="C23" s="141"/>
      <c r="D23" s="140">
        <v>2614</v>
      </c>
      <c r="E23" s="141"/>
      <c r="F23" s="172" t="s">
        <v>41</v>
      </c>
      <c r="G23" s="158">
        <v>100</v>
      </c>
      <c r="H23" s="159"/>
      <c r="I23" s="140"/>
      <c r="J23" s="114"/>
      <c r="K23" s="185"/>
      <c r="L23" s="199"/>
    </row>
    <row r="24" spans="2:13" ht="16.2" customHeight="1" x14ac:dyDescent="0.4">
      <c r="B24" s="138">
        <v>17</v>
      </c>
      <c r="C24" s="141"/>
      <c r="D24" s="140">
        <v>2615</v>
      </c>
      <c r="E24" s="141"/>
      <c r="F24" s="173" t="s">
        <v>33</v>
      </c>
      <c r="G24" s="158">
        <v>100</v>
      </c>
      <c r="H24" s="159"/>
      <c r="I24" s="140"/>
      <c r="J24" s="114"/>
      <c r="K24" s="185"/>
      <c r="L24" s="166"/>
    </row>
    <row r="25" spans="2:13" ht="16.2" customHeight="1" x14ac:dyDescent="0.4">
      <c r="B25" s="138">
        <v>17</v>
      </c>
      <c r="C25" s="141"/>
      <c r="D25" s="140">
        <v>2616</v>
      </c>
      <c r="E25" s="141"/>
      <c r="F25" s="173" t="s">
        <v>202</v>
      </c>
      <c r="G25" s="158">
        <v>100</v>
      </c>
      <c r="H25" s="159"/>
      <c r="I25" s="140"/>
      <c r="J25" s="114"/>
      <c r="K25" s="185"/>
      <c r="L25" s="166" t="s">
        <v>245</v>
      </c>
    </row>
    <row r="26" spans="2:13" ht="16.2" customHeight="1" x14ac:dyDescent="0.4">
      <c r="B26" s="138">
        <v>17</v>
      </c>
      <c r="C26" s="141"/>
      <c r="D26" s="140">
        <v>2617</v>
      </c>
      <c r="E26" s="141"/>
      <c r="F26" s="173" t="s">
        <v>347</v>
      </c>
      <c r="G26" s="158">
        <v>100</v>
      </c>
      <c r="H26" s="159"/>
      <c r="I26" s="140"/>
      <c r="J26" s="114"/>
      <c r="K26" s="185"/>
      <c r="L26" s="166"/>
    </row>
    <row r="27" spans="2:13" ht="16.2" customHeight="1" x14ac:dyDescent="0.4">
      <c r="B27" s="138">
        <v>17</v>
      </c>
      <c r="C27" s="141"/>
      <c r="D27" s="140">
        <v>2618</v>
      </c>
      <c r="E27" s="141"/>
      <c r="F27" s="173" t="s">
        <v>201</v>
      </c>
      <c r="G27" s="158">
        <v>100</v>
      </c>
      <c r="H27" s="159"/>
      <c r="I27" s="140"/>
      <c r="J27" s="114"/>
      <c r="K27" s="185"/>
      <c r="L27" s="166"/>
    </row>
    <row r="28" spans="2:13" ht="16.2" customHeight="1" x14ac:dyDescent="0.4">
      <c r="B28" s="138">
        <v>17</v>
      </c>
      <c r="C28" s="141"/>
      <c r="D28" s="140">
        <v>2619</v>
      </c>
      <c r="E28" s="141"/>
      <c r="F28" s="173" t="s">
        <v>346</v>
      </c>
      <c r="G28" s="158">
        <v>150</v>
      </c>
      <c r="H28" s="159"/>
      <c r="I28" s="140"/>
      <c r="J28" s="114"/>
      <c r="K28" s="185"/>
      <c r="L28" s="166"/>
    </row>
    <row r="29" spans="2:13" ht="16.2" customHeight="1" x14ac:dyDescent="0.4">
      <c r="B29" s="138">
        <v>17</v>
      </c>
      <c r="C29" s="141"/>
      <c r="D29" s="140">
        <v>2620</v>
      </c>
      <c r="E29" s="141"/>
      <c r="F29" s="173" t="s">
        <v>178</v>
      </c>
      <c r="G29" s="158">
        <v>100</v>
      </c>
      <c r="H29" s="159"/>
      <c r="I29" s="140"/>
      <c r="J29" s="114"/>
      <c r="K29" s="185"/>
      <c r="L29" s="166"/>
    </row>
    <row r="30" spans="2:13" ht="16.2" customHeight="1" x14ac:dyDescent="0.4">
      <c r="B30" s="138">
        <v>17</v>
      </c>
      <c r="C30" s="141"/>
      <c r="D30" s="140">
        <v>2621</v>
      </c>
      <c r="E30" s="141"/>
      <c r="F30" s="173" t="s">
        <v>350</v>
      </c>
      <c r="G30" s="158">
        <v>100</v>
      </c>
      <c r="H30" s="159"/>
      <c r="I30" s="140"/>
      <c r="J30" s="114"/>
      <c r="K30" s="185"/>
      <c r="L30" s="166"/>
    </row>
    <row r="31" spans="2:13" ht="18" customHeight="1" x14ac:dyDescent="0.4">
      <c r="B31" s="154" t="s">
        <v>307</v>
      </c>
      <c r="D31" s="111"/>
      <c r="F31" s="109"/>
      <c r="G31" s="161">
        <f>SUM(G22:G30)</f>
        <v>1050</v>
      </c>
      <c r="H31" s="161"/>
      <c r="I31" s="162">
        <f>G31-J31</f>
        <v>50</v>
      </c>
      <c r="J31" s="142">
        <v>1000</v>
      </c>
      <c r="K31" s="185">
        <v>0</v>
      </c>
      <c r="L31" s="198">
        <f>J31+K31</f>
        <v>1000</v>
      </c>
      <c r="M31" s="135"/>
    </row>
    <row r="32" spans="2:13" ht="16.2" customHeight="1" x14ac:dyDescent="0.4">
      <c r="B32" s="138">
        <v>31</v>
      </c>
      <c r="C32" s="141"/>
      <c r="D32" s="140">
        <v>2622</v>
      </c>
      <c r="E32" s="141"/>
      <c r="F32" s="172" t="s">
        <v>349</v>
      </c>
      <c r="G32" s="275">
        <v>100</v>
      </c>
      <c r="H32" s="159"/>
      <c r="I32" s="140"/>
      <c r="J32" s="179"/>
      <c r="K32" s="185"/>
      <c r="L32" s="199"/>
    </row>
    <row r="33" spans="2:12" ht="16.2" customHeight="1" x14ac:dyDescent="0.4">
      <c r="B33" s="138">
        <v>31</v>
      </c>
      <c r="C33" s="141"/>
      <c r="D33" s="140">
        <v>2623</v>
      </c>
      <c r="E33" s="141"/>
      <c r="F33" s="172" t="s">
        <v>345</v>
      </c>
      <c r="G33" s="275">
        <v>100</v>
      </c>
      <c r="H33" s="159"/>
      <c r="I33" s="140"/>
      <c r="J33" s="142"/>
      <c r="K33" s="185"/>
      <c r="L33" s="199"/>
    </row>
    <row r="34" spans="2:12" ht="16.2" customHeight="1" x14ac:dyDescent="0.4">
      <c r="B34" s="138">
        <v>31</v>
      </c>
      <c r="C34" s="141"/>
      <c r="D34" s="140" t="s">
        <v>370</v>
      </c>
      <c r="E34" s="141"/>
      <c r="F34" s="172" t="s">
        <v>371</v>
      </c>
      <c r="G34" s="275">
        <v>500</v>
      </c>
      <c r="H34" s="159"/>
      <c r="I34" s="140" t="s">
        <v>245</v>
      </c>
      <c r="J34" s="179"/>
      <c r="K34" s="185"/>
      <c r="L34" s="199"/>
    </row>
    <row r="35" spans="2:12" ht="16.2" customHeight="1" x14ac:dyDescent="0.4">
      <c r="B35" s="138">
        <v>31</v>
      </c>
      <c r="C35" s="141"/>
      <c r="D35" s="140" t="s">
        <v>370</v>
      </c>
      <c r="E35" s="141"/>
      <c r="F35" s="172" t="s">
        <v>346</v>
      </c>
      <c r="G35" s="275">
        <v>50</v>
      </c>
      <c r="H35" s="159"/>
      <c r="I35" s="140"/>
      <c r="J35" s="142"/>
      <c r="K35" s="185">
        <v>0</v>
      </c>
      <c r="L35" s="199"/>
    </row>
    <row r="36" spans="2:12" ht="18" customHeight="1" thickBot="1" x14ac:dyDescent="0.45">
      <c r="B36" s="154" t="s">
        <v>307</v>
      </c>
      <c r="D36" s="111"/>
      <c r="F36" s="109"/>
      <c r="G36" s="166">
        <f>SUM(G32:G35)</f>
        <v>750</v>
      </c>
      <c r="H36" s="166"/>
      <c r="I36" s="162">
        <f>G36-J36</f>
        <v>650</v>
      </c>
      <c r="J36" s="180">
        <v>100</v>
      </c>
      <c r="K36" s="181">
        <v>900</v>
      </c>
      <c r="L36" s="198">
        <f>J36+K36</f>
        <v>1000</v>
      </c>
    </row>
    <row r="37" spans="2:12" ht="22.2" customHeight="1" thickBot="1" x14ac:dyDescent="0.45">
      <c r="B37" s="194" t="s">
        <v>297</v>
      </c>
      <c r="C37" s="195"/>
      <c r="D37" s="196"/>
      <c r="E37" s="197"/>
      <c r="F37" s="195"/>
      <c r="G37" s="200">
        <f>G21+G31+G36</f>
        <v>2650</v>
      </c>
      <c r="H37" s="200"/>
      <c r="I37" s="200">
        <f>I21+I31+I36</f>
        <v>700</v>
      </c>
      <c r="J37" s="200">
        <f>J21+J31+J36</f>
        <v>1950</v>
      </c>
      <c r="K37" s="200">
        <f>K21+K31+K36</f>
        <v>1050</v>
      </c>
      <c r="L37" s="200">
        <f>L21+L31+L36</f>
        <v>3000</v>
      </c>
    </row>
    <row r="38" spans="2:12" ht="16.2" customHeight="1" x14ac:dyDescent="0.4">
      <c r="B38" s="9"/>
      <c r="C38" s="8"/>
      <c r="D38" s="19"/>
      <c r="E38" s="19"/>
      <c r="F38" s="8"/>
      <c r="G38" s="10"/>
      <c r="H38" s="10"/>
      <c r="I38" s="14">
        <f>G37-J37</f>
        <v>700</v>
      </c>
      <c r="J38" s="14" t="s">
        <v>245</v>
      </c>
      <c r="K38" s="12"/>
      <c r="L38" s="15" t="s">
        <v>245</v>
      </c>
    </row>
    <row r="39" spans="2:12" ht="16.2" customHeight="1" x14ac:dyDescent="0.4">
      <c r="B39" s="9"/>
      <c r="C39" s="8"/>
      <c r="D39" s="19"/>
      <c r="E39" s="19"/>
      <c r="F39" s="8"/>
      <c r="G39" s="10"/>
      <c r="H39" s="10"/>
      <c r="I39" s="14" t="s">
        <v>245</v>
      </c>
      <c r="J39" s="14"/>
      <c r="K39" s="295" t="s">
        <v>245</v>
      </c>
      <c r="L39" s="15"/>
    </row>
    <row r="40" spans="2:12" ht="14.15" customHeight="1" x14ac:dyDescent="0.4">
      <c r="B40" s="9"/>
      <c r="C40" s="8"/>
      <c r="D40" s="19"/>
      <c r="E40" s="19"/>
      <c r="F40" s="8"/>
      <c r="G40" s="10"/>
      <c r="H40" s="10"/>
      <c r="I40" s="14"/>
      <c r="J40" s="14"/>
      <c r="K40" s="12"/>
      <c r="L40" s="15"/>
    </row>
    <row r="41" spans="2:12" ht="14.15" customHeight="1" x14ac:dyDescent="0.4">
      <c r="B41" s="8"/>
      <c r="C41" s="8"/>
      <c r="D41" s="8" t="s">
        <v>245</v>
      </c>
      <c r="E41" s="8"/>
      <c r="F41" s="8"/>
      <c r="G41" s="8"/>
      <c r="H41" s="8"/>
      <c r="I41" s="8"/>
      <c r="J41" s="8"/>
      <c r="K41" s="8"/>
    </row>
    <row r="42" spans="2:12" ht="14.15" customHeight="1" x14ac:dyDescent="0.4">
      <c r="B42" s="8"/>
      <c r="C42" s="8"/>
      <c r="D42" s="19" t="s">
        <v>245</v>
      </c>
      <c r="E42" s="8"/>
      <c r="F42" s="19" t="s">
        <v>245</v>
      </c>
      <c r="G42" s="8"/>
      <c r="H42" s="8"/>
      <c r="I42" s="8"/>
      <c r="J42" s="8"/>
      <c r="K42" s="8"/>
    </row>
    <row r="43" spans="2:12" ht="14.15" customHeight="1" x14ac:dyDescent="0.4">
      <c r="B43" s="8"/>
      <c r="C43" s="8"/>
      <c r="D43" s="8"/>
      <c r="E43" s="8"/>
      <c r="F43" s="19"/>
      <c r="G43" s="8"/>
      <c r="H43" s="8"/>
      <c r="I43" s="8"/>
      <c r="J43" s="8"/>
      <c r="K43" s="8"/>
    </row>
    <row r="44" spans="2:12" ht="14.15" customHeight="1" x14ac:dyDescent="0.4">
      <c r="B44" s="8"/>
      <c r="C44" s="8"/>
      <c r="D44" s="8"/>
      <c r="E44" s="8"/>
      <c r="F44" s="19"/>
      <c r="G44" s="8"/>
      <c r="H44" s="8"/>
      <c r="I44" s="8"/>
      <c r="J44" s="8"/>
      <c r="K44" s="8"/>
    </row>
    <row r="45" spans="2:12" ht="14.15" customHeight="1" x14ac:dyDescent="0.4">
      <c r="B45" s="8"/>
      <c r="C45" s="8"/>
      <c r="D45" s="8"/>
      <c r="E45" s="8"/>
      <c r="F45" s="19"/>
      <c r="G45" s="8"/>
      <c r="H45" s="8"/>
      <c r="I45" s="8"/>
      <c r="J45" s="8"/>
      <c r="K45" s="8"/>
    </row>
    <row r="46" spans="2:12" ht="14.15" customHeight="1" x14ac:dyDescent="0.4">
      <c r="B46" s="267" t="s">
        <v>374</v>
      </c>
      <c r="C46" s="267"/>
      <c r="D46" s="267"/>
      <c r="E46" s="267"/>
      <c r="F46" s="19"/>
      <c r="G46" s="8"/>
      <c r="H46" s="8"/>
      <c r="I46" s="8"/>
      <c r="J46" s="8"/>
      <c r="K46" s="8"/>
    </row>
    <row r="47" spans="2:12" ht="14.15" customHeight="1" thickBot="1" x14ac:dyDescent="0.45">
      <c r="B47" s="19" t="s">
        <v>245</v>
      </c>
      <c r="C47" s="8"/>
      <c r="D47" s="8"/>
      <c r="E47" s="8"/>
      <c r="F47" s="19"/>
      <c r="G47" s="19"/>
      <c r="H47" s="19"/>
      <c r="I47" s="19"/>
      <c r="J47" s="19"/>
      <c r="K47" s="19"/>
    </row>
    <row r="48" spans="2:12" ht="18" customHeight="1" thickBot="1" x14ac:dyDescent="0.45">
      <c r="B48" s="469" t="s">
        <v>311</v>
      </c>
      <c r="C48" s="470"/>
      <c r="D48" s="470"/>
      <c r="E48" s="471"/>
      <c r="F48" s="209" t="s">
        <v>123</v>
      </c>
      <c r="G48" s="19"/>
      <c r="H48" s="19"/>
      <c r="I48" s="19"/>
      <c r="J48" s="19"/>
      <c r="K48" s="19"/>
    </row>
    <row r="49" spans="2:11" ht="15" customHeight="1" x14ac:dyDescent="0.4">
      <c r="B49" s="276" t="s">
        <v>342</v>
      </c>
      <c r="C49" s="277" t="s">
        <v>7</v>
      </c>
      <c r="D49" s="277" t="s">
        <v>245</v>
      </c>
      <c r="E49" s="277"/>
      <c r="F49" s="278">
        <v>1000</v>
      </c>
      <c r="G49" s="41"/>
      <c r="H49" s="41"/>
      <c r="I49" s="8"/>
      <c r="J49" s="201"/>
      <c r="K49" s="8"/>
    </row>
    <row r="50" spans="2:11" ht="15" customHeight="1" x14ac:dyDescent="0.4">
      <c r="B50" s="279" t="s">
        <v>342</v>
      </c>
      <c r="C50" s="280">
        <v>10</v>
      </c>
      <c r="D50" s="280" t="s">
        <v>355</v>
      </c>
      <c r="E50" s="280"/>
      <c r="F50" s="281">
        <v>0</v>
      </c>
      <c r="G50" s="10"/>
      <c r="H50" s="10"/>
      <c r="I50" s="10"/>
      <c r="J50" s="202"/>
      <c r="K50" s="10"/>
    </row>
    <row r="51" spans="2:11" ht="15" customHeight="1" x14ac:dyDescent="0.4">
      <c r="B51" s="279" t="s">
        <v>342</v>
      </c>
      <c r="C51" s="280">
        <v>17</v>
      </c>
      <c r="D51" s="280" t="s">
        <v>245</v>
      </c>
      <c r="E51" s="280"/>
      <c r="F51" s="282">
        <v>1000</v>
      </c>
      <c r="G51" s="10"/>
      <c r="H51" s="10"/>
      <c r="I51" s="10"/>
      <c r="J51" s="201"/>
      <c r="K51" s="8"/>
    </row>
    <row r="52" spans="2:11" ht="15" customHeight="1" thickBot="1" x14ac:dyDescent="0.45">
      <c r="B52" s="285" t="s">
        <v>342</v>
      </c>
      <c r="C52" s="283">
        <v>31</v>
      </c>
      <c r="D52" s="283" t="s">
        <v>245</v>
      </c>
      <c r="E52" s="283"/>
      <c r="F52" s="284">
        <v>1000</v>
      </c>
      <c r="G52" s="10"/>
      <c r="H52" s="10"/>
      <c r="I52" s="10"/>
      <c r="J52" s="201"/>
      <c r="K52" s="10"/>
    </row>
    <row r="53" spans="2:11" ht="8.15" customHeight="1" x14ac:dyDescent="0.4">
      <c r="B53" s="210"/>
      <c r="C53" s="211"/>
      <c r="D53" s="212" t="s">
        <v>245</v>
      </c>
      <c r="E53" s="212"/>
      <c r="F53" s="213"/>
      <c r="G53" s="10"/>
      <c r="H53" s="10"/>
      <c r="I53" s="21"/>
      <c r="J53" s="201"/>
      <c r="K53" s="10"/>
    </row>
    <row r="54" spans="2:11" ht="14.15" customHeight="1" thickBot="1" x14ac:dyDescent="0.45">
      <c r="B54" s="466" t="s">
        <v>296</v>
      </c>
      <c r="C54" s="467"/>
      <c r="D54" s="467"/>
      <c r="E54" s="214"/>
      <c r="F54" s="215">
        <f>SUM(F49:F52)</f>
        <v>3000</v>
      </c>
      <c r="G54" s="10"/>
      <c r="H54" s="10"/>
      <c r="I54" s="21"/>
      <c r="J54" s="203"/>
      <c r="K54" s="10"/>
    </row>
    <row r="55" spans="2:11" ht="15.45" x14ac:dyDescent="0.4">
      <c r="B55" s="26"/>
      <c r="C55" s="8"/>
      <c r="D55" s="8"/>
      <c r="E55" s="8"/>
      <c r="F55" s="8"/>
      <c r="G55" s="10"/>
      <c r="H55" s="10"/>
      <c r="I55" s="27"/>
      <c r="J55" s="27"/>
      <c r="K55" s="10"/>
    </row>
    <row r="56" spans="2:11" ht="15.45" x14ac:dyDescent="0.4">
      <c r="B56" s="25"/>
      <c r="C56" s="8"/>
      <c r="D56" s="8"/>
      <c r="E56" s="8"/>
      <c r="F56" s="8"/>
      <c r="G56" s="41"/>
      <c r="H56" s="41"/>
      <c r="I56" s="21"/>
      <c r="J56" s="27"/>
      <c r="K56" s="10"/>
    </row>
    <row r="57" spans="2:11" ht="15.45" x14ac:dyDescent="0.4">
      <c r="B57" s="26"/>
      <c r="C57" s="8"/>
      <c r="D57" s="6"/>
      <c r="E57" s="6"/>
      <c r="F57" s="8"/>
      <c r="G57" s="10"/>
      <c r="H57" s="10"/>
      <c r="I57" s="10"/>
      <c r="J57" s="8"/>
      <c r="K57" s="10"/>
    </row>
    <row r="58" spans="2:11" ht="15.45" x14ac:dyDescent="0.4">
      <c r="F58" s="8"/>
      <c r="I58" s="27"/>
    </row>
  </sheetData>
  <mergeCells count="9">
    <mergeCell ref="B48:E48"/>
    <mergeCell ref="B54:D54"/>
    <mergeCell ref="F9:J9"/>
    <mergeCell ref="B7:L7"/>
    <mergeCell ref="G11:G12"/>
    <mergeCell ref="H11:H12"/>
    <mergeCell ref="I11:I12"/>
    <mergeCell ref="J11:K11"/>
    <mergeCell ref="L11:L12"/>
  </mergeCells>
  <pageMargins left="0.11811023622047245" right="0.11811023622047245" top="0.15748031496062992" bottom="0.15748031496062992" header="0.31496062992125984" footer="0.31496062992125984"/>
  <pageSetup paperSize="9" scale="80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C7A43A-E4A2-4DB7-B4F4-420B1551B71D}">
  <dimension ref="B1:R67"/>
  <sheetViews>
    <sheetView topLeftCell="A25" workbookViewId="0">
      <selection activeCell="J39" sqref="J39"/>
    </sheetView>
  </sheetViews>
  <sheetFormatPr defaultRowHeight="14.6" x14ac:dyDescent="0.4"/>
  <cols>
    <col min="1" max="1" width="3.3046875" customWidth="1"/>
    <col min="2" max="2" width="2.3046875" customWidth="1"/>
    <col min="3" max="3" width="16.69140625" customWidth="1"/>
    <col min="4" max="4" width="0.53515625" customWidth="1"/>
    <col min="6" max="6" width="0.84375" customWidth="1"/>
    <col min="7" max="7" width="12" customWidth="1"/>
    <col min="8" max="8" width="19.07421875" customWidth="1"/>
    <col min="9" max="9" width="18.3046875" customWidth="1"/>
    <col min="10" max="10" width="17.07421875" customWidth="1"/>
    <col min="11" max="11" width="3" customWidth="1"/>
    <col min="12" max="12" width="19.53515625" customWidth="1"/>
    <col min="13" max="13" width="1" customWidth="1"/>
    <col min="14" max="14" width="12.84375" customWidth="1"/>
    <col min="15" max="15" width="9.53515625" bestFit="1" customWidth="1"/>
    <col min="16" max="16" width="9.84375" customWidth="1"/>
  </cols>
  <sheetData>
    <row r="1" spans="3:14" ht="6" customHeight="1" x14ac:dyDescent="0.4"/>
    <row r="2" spans="3:14" ht="6" customHeight="1" x14ac:dyDescent="0.4"/>
    <row r="3" spans="3:14" ht="6" customHeight="1" x14ac:dyDescent="0.4"/>
    <row r="4" spans="3:14" ht="20.149999999999999" customHeight="1" x14ac:dyDescent="0.4">
      <c r="C4" s="476" t="s">
        <v>0</v>
      </c>
      <c r="D4" s="476"/>
      <c r="E4" s="476"/>
      <c r="F4" s="476"/>
      <c r="G4" s="476"/>
      <c r="H4" s="476"/>
      <c r="I4" s="476"/>
      <c r="J4" s="476"/>
      <c r="K4" s="476"/>
      <c r="L4" s="476"/>
      <c r="M4" s="476"/>
    </row>
    <row r="5" spans="3:14" ht="20.149999999999999" customHeight="1" x14ac:dyDescent="0.45">
      <c r="C5" s="492" t="s">
        <v>333</v>
      </c>
      <c r="D5" s="492"/>
      <c r="E5" s="492"/>
      <c r="F5" s="492"/>
      <c r="G5" s="492"/>
      <c r="H5" s="492"/>
      <c r="I5" s="492"/>
      <c r="J5" s="492"/>
      <c r="K5" s="492"/>
      <c r="L5" s="492"/>
      <c r="M5" s="243"/>
    </row>
    <row r="6" spans="3:14" ht="20.149999999999999" customHeight="1" x14ac:dyDescent="0.45">
      <c r="C6" s="492" t="s">
        <v>245</v>
      </c>
      <c r="D6" s="492"/>
      <c r="E6" s="492"/>
      <c r="F6" s="492"/>
      <c r="G6" s="492"/>
      <c r="H6" s="492"/>
      <c r="I6" s="492"/>
      <c r="J6" s="492"/>
      <c r="K6" s="492"/>
      <c r="L6" s="492"/>
      <c r="M6" s="243"/>
    </row>
    <row r="7" spans="3:14" ht="20.149999999999999" customHeight="1" x14ac:dyDescent="0.45">
      <c r="C7" s="476" t="s">
        <v>318</v>
      </c>
      <c r="D7" s="476"/>
      <c r="E7" s="476"/>
      <c r="F7" s="476"/>
      <c r="G7" s="476"/>
      <c r="H7" s="476"/>
      <c r="I7" s="476"/>
      <c r="J7" s="476"/>
      <c r="K7" s="476"/>
      <c r="L7" s="476"/>
      <c r="M7" s="243"/>
    </row>
    <row r="8" spans="3:14" ht="20.149999999999999" customHeight="1" x14ac:dyDescent="0.45">
      <c r="C8" s="476" t="s">
        <v>394</v>
      </c>
      <c r="D8" s="476"/>
      <c r="E8" s="476"/>
      <c r="F8" s="476"/>
      <c r="G8" s="476"/>
      <c r="H8" s="476"/>
      <c r="I8" s="476"/>
      <c r="J8" s="476"/>
      <c r="K8" s="476"/>
      <c r="L8" s="476"/>
      <c r="M8" s="221"/>
    </row>
    <row r="9" spans="3:14" ht="15" customHeight="1" x14ac:dyDescent="0.4">
      <c r="C9" s="8"/>
      <c r="D9" s="8"/>
      <c r="E9" s="8"/>
      <c r="F9" s="8"/>
      <c r="G9" s="8"/>
      <c r="H9" s="8"/>
      <c r="I9" s="8"/>
      <c r="J9" s="8"/>
      <c r="K9" s="8"/>
      <c r="L9" s="8"/>
      <c r="M9" s="8"/>
    </row>
    <row r="10" spans="3:14" ht="15" customHeight="1" x14ac:dyDescent="0.45">
      <c r="C10" s="220" t="s">
        <v>395</v>
      </c>
      <c r="D10" s="221"/>
      <c r="E10" s="221"/>
      <c r="F10" s="221"/>
      <c r="G10" s="221"/>
      <c r="H10" s="221"/>
      <c r="I10" s="221"/>
      <c r="J10" s="221"/>
      <c r="K10" s="247" t="s">
        <v>326</v>
      </c>
      <c r="L10" s="219">
        <v>10968.25</v>
      </c>
      <c r="M10" s="8"/>
      <c r="N10" s="135" t="s">
        <v>245</v>
      </c>
    </row>
    <row r="11" spans="3:14" ht="15" customHeight="1" x14ac:dyDescent="0.45">
      <c r="C11" s="221"/>
      <c r="D11" s="221"/>
      <c r="E11" s="221"/>
      <c r="F11" s="221"/>
      <c r="G11" s="221"/>
      <c r="H11" s="221"/>
      <c r="I11" s="221"/>
      <c r="J11" s="221"/>
      <c r="K11" s="8"/>
      <c r="L11" s="8"/>
      <c r="M11" s="8"/>
    </row>
    <row r="12" spans="3:14" ht="15" customHeight="1" x14ac:dyDescent="0.45">
      <c r="C12" s="220" t="s">
        <v>398</v>
      </c>
      <c r="D12" s="220"/>
      <c r="E12" s="221"/>
      <c r="F12" s="221"/>
      <c r="G12" s="221"/>
      <c r="H12" s="221"/>
      <c r="I12" s="221"/>
      <c r="J12" s="221"/>
      <c r="K12" s="8"/>
      <c r="L12" s="8"/>
      <c r="M12" s="8"/>
    </row>
    <row r="13" spans="3:14" ht="15" customHeight="1" x14ac:dyDescent="0.45">
      <c r="C13" s="221"/>
      <c r="D13" s="221"/>
      <c r="E13" s="221"/>
      <c r="F13" s="221"/>
      <c r="G13" s="221"/>
      <c r="H13" s="221"/>
      <c r="I13" s="226" t="s">
        <v>245</v>
      </c>
      <c r="J13" s="226" t="s">
        <v>245</v>
      </c>
      <c r="K13" s="19"/>
      <c r="L13" s="8"/>
      <c r="M13" s="8"/>
    </row>
    <row r="14" spans="3:14" ht="15" customHeight="1" x14ac:dyDescent="0.45">
      <c r="C14" s="476" t="s">
        <v>305</v>
      </c>
      <c r="D14" s="476"/>
      <c r="E14" s="476"/>
      <c r="F14" s="221"/>
      <c r="G14" s="221" t="s">
        <v>320</v>
      </c>
      <c r="H14" s="221"/>
      <c r="I14" s="226"/>
      <c r="J14" s="226"/>
      <c r="K14" s="19"/>
      <c r="L14" s="8"/>
      <c r="M14" s="8"/>
    </row>
    <row r="15" spans="3:14" ht="15" customHeight="1" x14ac:dyDescent="0.45">
      <c r="C15" s="238"/>
      <c r="D15" s="238"/>
      <c r="E15" s="238"/>
      <c r="F15" s="221"/>
      <c r="G15" s="221"/>
      <c r="H15" s="221"/>
      <c r="I15" s="226"/>
      <c r="J15" s="226"/>
      <c r="K15" s="19"/>
      <c r="L15" s="8"/>
      <c r="M15" s="8"/>
    </row>
    <row r="16" spans="3:14" ht="15" customHeight="1" x14ac:dyDescent="0.45">
      <c r="C16" s="476" t="s">
        <v>245</v>
      </c>
      <c r="D16" s="476"/>
      <c r="E16" s="476"/>
      <c r="F16" s="221"/>
      <c r="G16" s="221"/>
      <c r="H16" s="239" t="s">
        <v>316</v>
      </c>
      <c r="I16" s="239" t="s">
        <v>2</v>
      </c>
      <c r="J16" s="239" t="s">
        <v>306</v>
      </c>
      <c r="K16" s="19"/>
      <c r="L16" s="8"/>
      <c r="M16" s="8"/>
    </row>
    <row r="17" spans="3:15" ht="15" customHeight="1" x14ac:dyDescent="0.45">
      <c r="C17" s="221"/>
      <c r="D17" s="221"/>
      <c r="E17" s="226" t="s">
        <v>245</v>
      </c>
      <c r="F17" s="226"/>
      <c r="G17" s="240" t="s">
        <v>245</v>
      </c>
      <c r="H17" s="222" t="s">
        <v>245</v>
      </c>
      <c r="I17" s="241" t="s">
        <v>245</v>
      </c>
      <c r="J17" s="230" t="s">
        <v>245</v>
      </c>
      <c r="K17" s="201"/>
      <c r="L17" s="8"/>
      <c r="M17" s="8"/>
    </row>
    <row r="18" spans="3:15" ht="20.149999999999999" customHeight="1" x14ac:dyDescent="0.45">
      <c r="C18" s="221"/>
      <c r="D18" s="221"/>
      <c r="E18" s="226" t="s">
        <v>52</v>
      </c>
      <c r="F18" s="226"/>
      <c r="G18" s="240" t="s">
        <v>25</v>
      </c>
      <c r="H18" s="222">
        <v>1265</v>
      </c>
      <c r="I18" s="222">
        <v>150</v>
      </c>
      <c r="J18" s="222">
        <f>H18-I18</f>
        <v>1115</v>
      </c>
      <c r="K18" s="216"/>
      <c r="L18" s="8"/>
      <c r="M18" s="8"/>
    </row>
    <row r="19" spans="3:15" ht="20.149999999999999" customHeight="1" x14ac:dyDescent="0.45">
      <c r="C19" s="221"/>
      <c r="D19" s="221"/>
      <c r="E19" s="226" t="s">
        <v>52</v>
      </c>
      <c r="F19" s="226"/>
      <c r="G19" s="240">
        <v>14</v>
      </c>
      <c r="H19" s="223">
        <v>881</v>
      </c>
      <c r="I19" s="222">
        <v>300</v>
      </c>
      <c r="J19" s="222">
        <f>H19-I19</f>
        <v>581</v>
      </c>
      <c r="K19" s="216"/>
      <c r="L19" s="8"/>
      <c r="M19" s="8"/>
      <c r="N19" s="272" t="s">
        <v>245</v>
      </c>
    </row>
    <row r="20" spans="3:15" ht="20.149999999999999" customHeight="1" x14ac:dyDescent="0.45">
      <c r="C20" s="221"/>
      <c r="D20" s="221"/>
      <c r="E20" s="226" t="s">
        <v>52</v>
      </c>
      <c r="F20" s="226"/>
      <c r="G20" s="240">
        <v>21</v>
      </c>
      <c r="H20" s="223">
        <v>884</v>
      </c>
      <c r="I20" s="222">
        <v>50</v>
      </c>
      <c r="J20" s="222">
        <f>H20-I20</f>
        <v>834</v>
      </c>
      <c r="K20" s="216"/>
      <c r="L20" s="8"/>
      <c r="M20" s="8"/>
    </row>
    <row r="21" spans="3:15" ht="20.149999999999999" customHeight="1" x14ac:dyDescent="0.75">
      <c r="C21" s="221"/>
      <c r="D21" s="221"/>
      <c r="E21" s="226" t="s">
        <v>52</v>
      </c>
      <c r="F21" s="226"/>
      <c r="G21" s="240">
        <v>28</v>
      </c>
      <c r="H21" s="265">
        <v>795</v>
      </c>
      <c r="I21" s="266">
        <v>300</v>
      </c>
      <c r="J21" s="266">
        <f>H21-I21</f>
        <v>495</v>
      </c>
      <c r="K21" s="216"/>
      <c r="L21" s="44" t="s">
        <v>245</v>
      </c>
      <c r="M21" s="8"/>
    </row>
    <row r="22" spans="3:15" ht="15" customHeight="1" x14ac:dyDescent="0.45">
      <c r="C22" s="221"/>
      <c r="D22" s="221"/>
      <c r="E22" s="226"/>
      <c r="F22" s="226"/>
      <c r="G22" s="240"/>
      <c r="H22" s="223"/>
      <c r="I22" s="222"/>
      <c r="J22" s="222"/>
      <c r="K22" s="216"/>
      <c r="L22" s="44"/>
      <c r="M22" s="8"/>
    </row>
    <row r="23" spans="3:15" ht="15" customHeight="1" x14ac:dyDescent="0.45">
      <c r="C23" s="221"/>
      <c r="D23" s="221"/>
      <c r="E23" s="238" t="s">
        <v>65</v>
      </c>
      <c r="F23" s="221"/>
      <c r="G23" s="226"/>
      <c r="H23" s="296">
        <f>SUM(H18:H21)</f>
        <v>3825</v>
      </c>
      <c r="I23" s="288">
        <f>SUM(I18:I21)</f>
        <v>800</v>
      </c>
      <c r="J23" s="248">
        <f>SUM(J18:J21)</f>
        <v>3025</v>
      </c>
      <c r="K23" s="218"/>
      <c r="L23" s="44" t="s">
        <v>245</v>
      </c>
      <c r="M23" s="8"/>
      <c r="N23" t="s">
        <v>245</v>
      </c>
      <c r="O23" s="135" t="s">
        <v>245</v>
      </c>
    </row>
    <row r="24" spans="3:15" ht="15" customHeight="1" x14ac:dyDescent="0.45">
      <c r="C24" s="221"/>
      <c r="D24" s="221"/>
      <c r="E24" s="221"/>
      <c r="F24" s="221"/>
      <c r="G24" s="226"/>
      <c r="H24" s="224"/>
      <c r="I24" s="222"/>
      <c r="J24" s="222"/>
      <c r="K24" s="216"/>
      <c r="L24" s="44"/>
      <c r="M24" s="8"/>
    </row>
    <row r="25" spans="3:15" ht="15.75" customHeight="1" x14ac:dyDescent="0.45">
      <c r="C25" s="220" t="s">
        <v>245</v>
      </c>
      <c r="D25" s="221"/>
      <c r="E25" s="221"/>
      <c r="F25" s="221"/>
      <c r="G25" s="226"/>
      <c r="H25" s="224"/>
      <c r="I25" s="222"/>
      <c r="J25" s="248" t="s">
        <v>245</v>
      </c>
      <c r="K25" s="216"/>
      <c r="L25" s="44"/>
      <c r="M25" s="8"/>
    </row>
    <row r="26" spans="3:15" ht="15" customHeight="1" x14ac:dyDescent="0.45">
      <c r="C26" s="221"/>
      <c r="D26" s="221"/>
      <c r="E26" s="221"/>
      <c r="F26" s="221"/>
      <c r="G26" s="226"/>
      <c r="H26" s="224"/>
      <c r="I26" s="222"/>
      <c r="J26" s="222"/>
      <c r="K26" s="216"/>
      <c r="L26" s="44"/>
      <c r="M26" s="8"/>
    </row>
    <row r="27" spans="3:15" ht="15" customHeight="1" x14ac:dyDescent="0.45">
      <c r="C27" s="495" t="s">
        <v>376</v>
      </c>
      <c r="D27" s="495"/>
      <c r="E27" s="495"/>
      <c r="F27" s="495"/>
      <c r="G27" s="495"/>
      <c r="H27" s="495"/>
      <c r="I27" s="495"/>
      <c r="J27" s="219" t="s">
        <v>245</v>
      </c>
      <c r="K27" s="219"/>
      <c r="L27" s="225" t="s">
        <v>245</v>
      </c>
      <c r="M27" s="8"/>
    </row>
    <row r="28" spans="3:15" ht="15" customHeight="1" x14ac:dyDescent="0.45">
      <c r="C28" s="220"/>
      <c r="D28" s="221"/>
      <c r="E28" s="221"/>
      <c r="F28" s="221"/>
      <c r="G28" s="221"/>
      <c r="H28" s="226"/>
      <c r="I28" s="230"/>
      <c r="J28" s="219"/>
      <c r="K28" s="219"/>
      <c r="L28" s="225"/>
      <c r="M28" s="8"/>
    </row>
    <row r="29" spans="3:15" ht="22.95" customHeight="1" x14ac:dyDescent="0.85">
      <c r="C29" s="220"/>
      <c r="D29" s="221"/>
      <c r="E29" s="475" t="s">
        <v>377</v>
      </c>
      <c r="F29" s="475"/>
      <c r="G29" s="475"/>
      <c r="H29" s="475"/>
      <c r="I29" s="230"/>
      <c r="J29" s="274">
        <f>'April_2024_Sched A'!I45</f>
        <v>0</v>
      </c>
      <c r="K29" s="219"/>
      <c r="L29" s="264">
        <f>J29+J23</f>
        <v>3025</v>
      </c>
      <c r="M29" s="8"/>
      <c r="N29" s="135" t="s">
        <v>245</v>
      </c>
      <c r="O29" s="273" t="s">
        <v>245</v>
      </c>
    </row>
    <row r="30" spans="3:15" ht="15" customHeight="1" x14ac:dyDescent="0.75">
      <c r="C30" s="242"/>
      <c r="D30" s="236"/>
      <c r="E30" s="243"/>
      <c r="F30" s="236"/>
      <c r="G30" s="226"/>
      <c r="H30" s="226"/>
      <c r="I30" s="226"/>
      <c r="J30" s="222"/>
      <c r="K30" s="222"/>
      <c r="L30" s="244"/>
      <c r="M30" s="8"/>
    </row>
    <row r="31" spans="3:15" ht="20.149999999999999" customHeight="1" x14ac:dyDescent="0.45">
      <c r="C31" s="220" t="s">
        <v>313</v>
      </c>
      <c r="D31" s="220"/>
      <c r="E31" s="221"/>
      <c r="F31" s="221"/>
      <c r="G31" s="221"/>
      <c r="H31" s="221"/>
      <c r="I31" s="221"/>
      <c r="J31" s="221"/>
      <c r="K31" s="247" t="s">
        <v>326</v>
      </c>
      <c r="L31" s="219">
        <f>L10+L29</f>
        <v>13993.25</v>
      </c>
      <c r="M31" s="8"/>
      <c r="N31" t="s">
        <v>245</v>
      </c>
    </row>
    <row r="32" spans="3:15" ht="13.5" customHeight="1" x14ac:dyDescent="0.45">
      <c r="C32" s="220"/>
      <c r="D32" s="220"/>
      <c r="E32" s="221"/>
      <c r="F32" s="221"/>
      <c r="G32" s="221"/>
      <c r="H32" s="221"/>
      <c r="I32" s="221"/>
      <c r="J32" s="221"/>
      <c r="K32" s="221"/>
      <c r="L32" s="221"/>
      <c r="M32" s="8"/>
    </row>
    <row r="33" spans="3:18" ht="13.5" customHeight="1" x14ac:dyDescent="0.45">
      <c r="C33" s="220"/>
      <c r="D33" s="220"/>
      <c r="E33" s="221"/>
      <c r="F33" s="221"/>
      <c r="G33" s="221"/>
      <c r="H33" s="221"/>
      <c r="I33" s="221"/>
      <c r="J33" s="221"/>
      <c r="K33" s="221"/>
      <c r="L33" s="221"/>
      <c r="M33" s="8"/>
    </row>
    <row r="34" spans="3:18" ht="13.5" customHeight="1" x14ac:dyDescent="0.45">
      <c r="C34" s="220" t="s">
        <v>387</v>
      </c>
      <c r="D34" s="220"/>
      <c r="E34" s="221"/>
      <c r="F34" s="221"/>
      <c r="G34" s="221"/>
      <c r="H34" s="221"/>
      <c r="I34" s="221"/>
      <c r="J34" s="221"/>
      <c r="K34" s="221"/>
      <c r="L34" s="221"/>
      <c r="M34" s="8"/>
    </row>
    <row r="35" spans="3:18" ht="15" customHeight="1" x14ac:dyDescent="0.45">
      <c r="C35" s="221" t="s">
        <v>245</v>
      </c>
      <c r="D35" s="221"/>
      <c r="E35" s="221" t="s">
        <v>245</v>
      </c>
      <c r="F35" s="221"/>
      <c r="G35" s="221"/>
      <c r="H35" s="221"/>
      <c r="I35" s="221"/>
      <c r="J35" s="221"/>
      <c r="K35" s="221"/>
      <c r="L35" s="221"/>
      <c r="M35" s="8"/>
    </row>
    <row r="36" spans="3:18" ht="15" customHeight="1" x14ac:dyDescent="0.45">
      <c r="C36" s="239" t="s">
        <v>5</v>
      </c>
      <c r="D36" s="226"/>
      <c r="E36" s="226" t="s">
        <v>257</v>
      </c>
      <c r="F36" s="226"/>
      <c r="G36" s="487" t="s">
        <v>373</v>
      </c>
      <c r="H36" s="487"/>
      <c r="I36" s="487"/>
      <c r="J36" s="236" t="s">
        <v>123</v>
      </c>
      <c r="K36" s="221"/>
      <c r="L36" s="226" t="s">
        <v>245</v>
      </c>
      <c r="M36" s="19"/>
    </row>
    <row r="37" spans="3:18" ht="15" customHeight="1" x14ac:dyDescent="0.45">
      <c r="C37" s="226"/>
      <c r="D37" s="226"/>
      <c r="E37" s="226"/>
      <c r="F37" s="226"/>
      <c r="G37" s="221"/>
      <c r="H37" s="221"/>
      <c r="I37" s="221"/>
      <c r="J37" s="221"/>
      <c r="K37" s="221"/>
      <c r="L37" s="226"/>
      <c r="M37" s="19"/>
    </row>
    <row r="38" spans="3:18" ht="20.149999999999999" customHeight="1" x14ac:dyDescent="0.45">
      <c r="C38" s="292" t="s">
        <v>392</v>
      </c>
      <c r="D38" s="226"/>
      <c r="E38" s="226"/>
      <c r="F38" s="226"/>
      <c r="G38" s="228" t="s">
        <v>400</v>
      </c>
      <c r="H38" s="221"/>
      <c r="I38" s="221"/>
      <c r="J38" s="222">
        <v>500</v>
      </c>
      <c r="K38" s="222"/>
      <c r="L38" s="222"/>
      <c r="M38" s="19"/>
    </row>
    <row r="39" spans="3:18" ht="20.149999999999999" customHeight="1" x14ac:dyDescent="0.75">
      <c r="C39" s="292" t="s">
        <v>393</v>
      </c>
      <c r="D39" s="226"/>
      <c r="E39" s="226"/>
      <c r="F39" s="226"/>
      <c r="G39" s="228" t="s">
        <v>357</v>
      </c>
      <c r="H39" s="221"/>
      <c r="I39" s="221"/>
      <c r="J39" s="266">
        <v>1112.8499999999999</v>
      </c>
      <c r="K39" s="222"/>
      <c r="L39" s="266">
        <f>J38+J39</f>
        <v>1612.85</v>
      </c>
      <c r="M39" s="19"/>
    </row>
    <row r="40" spans="3:18" ht="15" customHeight="1" x14ac:dyDescent="0.45">
      <c r="C40" s="227"/>
      <c r="D40" s="227"/>
      <c r="E40" s="229"/>
      <c r="F40" s="229"/>
      <c r="G40" s="228"/>
      <c r="H40" s="221"/>
      <c r="I40" s="221"/>
      <c r="J40" s="230"/>
      <c r="K40" s="230"/>
      <c r="L40" s="230"/>
      <c r="M40" s="201"/>
    </row>
    <row r="41" spans="3:18" ht="20.149999999999999" customHeight="1" x14ac:dyDescent="0.45">
      <c r="C41" s="220" t="s">
        <v>327</v>
      </c>
      <c r="D41" s="220"/>
      <c r="E41" s="221"/>
      <c r="F41" s="221"/>
      <c r="G41" s="221"/>
      <c r="H41" s="221"/>
      <c r="I41" s="221"/>
      <c r="J41" s="221"/>
      <c r="K41" s="221"/>
      <c r="L41" s="231">
        <f>L31-L39</f>
        <v>12380.4</v>
      </c>
      <c r="M41" s="44"/>
    </row>
    <row r="42" spans="3:18" ht="13.5" customHeight="1" x14ac:dyDescent="0.45">
      <c r="C42" s="221"/>
      <c r="D42" s="221"/>
      <c r="E42" s="221"/>
      <c r="F42" s="221"/>
      <c r="G42" s="221"/>
      <c r="H42" s="221"/>
      <c r="I42" s="221"/>
      <c r="J42" s="221"/>
      <c r="K42" s="221"/>
      <c r="L42" s="225"/>
      <c r="M42" s="44"/>
    </row>
    <row r="43" spans="3:18" ht="20.149999999999999" customHeight="1" x14ac:dyDescent="0.85">
      <c r="C43" s="220" t="s">
        <v>390</v>
      </c>
      <c r="D43" s="221"/>
      <c r="E43" s="221"/>
      <c r="F43" s="221"/>
      <c r="G43" s="221"/>
      <c r="H43" s="221"/>
      <c r="I43" s="221"/>
      <c r="J43" s="221"/>
      <c r="K43" s="221"/>
      <c r="L43" s="264">
        <v>1256.7</v>
      </c>
      <c r="M43" s="44"/>
    </row>
    <row r="44" spans="3:18" ht="13.5" customHeight="1" x14ac:dyDescent="0.45">
      <c r="C44" s="221"/>
      <c r="D44" s="221"/>
      <c r="E44" s="221"/>
      <c r="F44" s="221"/>
      <c r="G44" s="221"/>
      <c r="H44" s="221"/>
      <c r="I44" s="221"/>
      <c r="J44" s="221"/>
      <c r="K44" s="221"/>
      <c r="L44" s="225"/>
      <c r="M44" s="44"/>
    </row>
    <row r="45" spans="3:18" ht="24.45" customHeight="1" thickBot="1" x14ac:dyDescent="0.5">
      <c r="C45" s="220" t="s">
        <v>391</v>
      </c>
      <c r="D45" s="221"/>
      <c r="E45" s="221"/>
      <c r="F45" s="221"/>
      <c r="G45" s="221"/>
      <c r="H45" s="221"/>
      <c r="I45" s="221"/>
      <c r="J45" s="221"/>
      <c r="K45" s="245" t="s">
        <v>326</v>
      </c>
      <c r="L45" s="232">
        <f>L41-L43</f>
        <v>11123.699999999999</v>
      </c>
      <c r="M45" s="8"/>
      <c r="N45" s="2" t="s">
        <v>245</v>
      </c>
      <c r="O45" s="135"/>
      <c r="P45" s="135"/>
      <c r="Q45" s="135"/>
      <c r="R45" s="135"/>
    </row>
    <row r="46" spans="3:18" ht="13.5" customHeight="1" thickTop="1" x14ac:dyDescent="0.45">
      <c r="C46" s="221"/>
      <c r="D46" s="221"/>
      <c r="E46" s="220"/>
      <c r="F46" s="220"/>
      <c r="G46" s="221"/>
      <c r="H46" s="221"/>
      <c r="I46" s="221"/>
      <c r="J46" s="221"/>
      <c r="K46" s="221"/>
      <c r="L46" s="221"/>
      <c r="M46" s="8"/>
      <c r="N46" s="135"/>
      <c r="O46" s="474"/>
      <c r="P46" s="474"/>
    </row>
    <row r="47" spans="3:18" ht="13.5" customHeight="1" x14ac:dyDescent="0.45">
      <c r="C47" s="221"/>
      <c r="D47" s="221"/>
      <c r="E47" s="220"/>
      <c r="F47" s="220"/>
      <c r="G47" s="221"/>
      <c r="H47" s="221"/>
      <c r="I47" s="221"/>
      <c r="J47" s="221"/>
      <c r="K47" s="221"/>
      <c r="L47" s="221"/>
      <c r="M47" s="8"/>
      <c r="N47" s="270"/>
    </row>
    <row r="48" spans="3:18" ht="13.5" customHeight="1" thickBot="1" x14ac:dyDescent="0.45">
      <c r="C48" s="8"/>
      <c r="D48" s="8"/>
      <c r="E48" s="13"/>
      <c r="F48" s="13"/>
      <c r="G48" s="8"/>
      <c r="H48" s="8"/>
      <c r="I48" s="8"/>
      <c r="J48" s="8"/>
      <c r="K48" s="8"/>
      <c r="L48" s="8"/>
      <c r="M48" s="8"/>
    </row>
    <row r="49" spans="2:13" ht="13.5" customHeight="1" x14ac:dyDescent="0.45">
      <c r="B49" s="251"/>
      <c r="C49" s="493" t="s">
        <v>353</v>
      </c>
      <c r="D49" s="493"/>
      <c r="E49" s="493"/>
      <c r="F49" s="493"/>
      <c r="G49" s="493"/>
      <c r="H49" s="493"/>
      <c r="I49" s="252"/>
      <c r="J49" s="252"/>
      <c r="K49" s="483" t="s">
        <v>326</v>
      </c>
      <c r="L49" s="479">
        <v>60834.83</v>
      </c>
      <c r="M49" s="253"/>
    </row>
    <row r="50" spans="2:13" ht="11.15" customHeight="1" x14ac:dyDescent="0.4">
      <c r="B50" s="254"/>
      <c r="C50" s="494"/>
      <c r="D50" s="494"/>
      <c r="E50" s="494"/>
      <c r="F50" s="494"/>
      <c r="G50" s="494"/>
      <c r="H50" s="494"/>
      <c r="I50" s="220"/>
      <c r="J50" s="220"/>
      <c r="K50" s="484"/>
      <c r="L50" s="480"/>
      <c r="M50" s="255"/>
    </row>
    <row r="51" spans="2:13" ht="16.2" customHeight="1" x14ac:dyDescent="0.4">
      <c r="B51" s="256"/>
      <c r="C51" s="496" t="s">
        <v>396</v>
      </c>
      <c r="D51" s="496"/>
      <c r="E51" s="496"/>
      <c r="F51" s="496"/>
      <c r="G51" s="496"/>
      <c r="H51" s="496"/>
      <c r="I51" s="233"/>
      <c r="J51" s="233"/>
      <c r="K51" s="233"/>
      <c r="L51" s="261">
        <v>1256.7</v>
      </c>
      <c r="M51" s="174"/>
    </row>
    <row r="52" spans="2:13" ht="16.2" customHeight="1" thickBot="1" x14ac:dyDescent="0.5">
      <c r="B52" s="254"/>
      <c r="C52" s="497" t="s">
        <v>322</v>
      </c>
      <c r="D52" s="497"/>
      <c r="E52" s="497"/>
      <c r="F52" s="497"/>
      <c r="G52" s="497"/>
      <c r="H52" s="497"/>
      <c r="I52" s="221"/>
      <c r="J52" s="230"/>
      <c r="K52" s="230"/>
      <c r="L52" s="262">
        <f>6.42-1.28</f>
        <v>5.14</v>
      </c>
      <c r="M52" s="255"/>
    </row>
    <row r="53" spans="2:13" ht="13.5" customHeight="1" x14ac:dyDescent="0.4">
      <c r="B53" s="251"/>
      <c r="C53" s="498" t="s">
        <v>389</v>
      </c>
      <c r="D53" s="498"/>
      <c r="E53" s="498"/>
      <c r="F53" s="498"/>
      <c r="G53" s="498"/>
      <c r="H53" s="498"/>
      <c r="I53" s="260"/>
      <c r="J53" s="260"/>
      <c r="K53" s="485" t="s">
        <v>326</v>
      </c>
      <c r="L53" s="477">
        <f>SUM(L49:L52)</f>
        <v>62096.67</v>
      </c>
      <c r="M53" s="253"/>
    </row>
    <row r="54" spans="2:13" ht="13.5" customHeight="1" thickBot="1" x14ac:dyDescent="0.45">
      <c r="B54" s="257"/>
      <c r="C54" s="499"/>
      <c r="D54" s="499"/>
      <c r="E54" s="499"/>
      <c r="F54" s="499"/>
      <c r="G54" s="499"/>
      <c r="H54" s="499"/>
      <c r="I54" s="258"/>
      <c r="J54" s="258"/>
      <c r="K54" s="486"/>
      <c r="L54" s="478"/>
      <c r="M54" s="259"/>
    </row>
    <row r="55" spans="2:13" ht="13.5" customHeight="1" x14ac:dyDescent="0.4">
      <c r="C55" s="8"/>
      <c r="D55" s="8"/>
      <c r="E55" s="13"/>
      <c r="F55" s="13"/>
      <c r="G55" s="13"/>
      <c r="H55" s="13"/>
      <c r="I55" s="13"/>
      <c r="J55" s="13"/>
      <c r="K55" s="13"/>
      <c r="L55" s="15"/>
      <c r="M55" s="8"/>
    </row>
    <row r="56" spans="2:13" ht="13.5" customHeight="1" x14ac:dyDescent="0.4">
      <c r="C56" s="8"/>
      <c r="D56" s="8"/>
      <c r="E56" s="13"/>
      <c r="F56" s="13"/>
      <c r="G56" s="13"/>
      <c r="H56" s="13"/>
      <c r="I56" s="13"/>
      <c r="J56" s="13"/>
      <c r="K56" s="13"/>
      <c r="L56" s="15"/>
      <c r="M56" s="8"/>
    </row>
    <row r="57" spans="2:13" ht="13.5" customHeight="1" x14ac:dyDescent="0.4">
      <c r="C57" s="8"/>
      <c r="D57" s="8"/>
      <c r="E57" s="13"/>
      <c r="F57" s="13"/>
      <c r="G57" s="13"/>
      <c r="H57" s="13"/>
      <c r="I57" s="13"/>
      <c r="J57" s="13"/>
      <c r="K57" s="13"/>
      <c r="L57" s="15"/>
      <c r="M57" s="8"/>
    </row>
    <row r="58" spans="2:13" ht="13.5" customHeight="1" x14ac:dyDescent="0.4">
      <c r="C58" s="237" t="s">
        <v>13</v>
      </c>
      <c r="D58" s="235"/>
      <c r="E58" s="235"/>
      <c r="F58" s="235"/>
      <c r="G58" s="237" t="s">
        <v>82</v>
      </c>
      <c r="H58" s="235"/>
      <c r="I58" s="237" t="s">
        <v>289</v>
      </c>
      <c r="J58" s="235"/>
      <c r="K58" s="235"/>
      <c r="L58" s="235" t="s">
        <v>261</v>
      </c>
      <c r="M58" s="8"/>
    </row>
    <row r="59" spans="2:13" ht="13.5" customHeight="1" x14ac:dyDescent="0.4"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</row>
    <row r="60" spans="2:13" ht="20.149999999999999" customHeight="1" x14ac:dyDescent="0.4">
      <c r="C60" s="234" t="s">
        <v>290</v>
      </c>
      <c r="D60" s="235"/>
      <c r="E60" s="235"/>
      <c r="F60" s="235"/>
      <c r="G60" s="234" t="s">
        <v>14</v>
      </c>
      <c r="H60" s="235"/>
      <c r="I60" s="234" t="s">
        <v>17</v>
      </c>
      <c r="J60" s="235"/>
      <c r="K60" s="235"/>
      <c r="L60" s="234" t="s">
        <v>8</v>
      </c>
      <c r="M60" s="8"/>
    </row>
    <row r="61" spans="2:13" ht="13.5" customHeight="1" x14ac:dyDescent="0.4">
      <c r="C61" s="19" t="s">
        <v>317</v>
      </c>
      <c r="D61" s="8"/>
      <c r="E61" s="8"/>
      <c r="F61" s="8"/>
      <c r="G61" s="19" t="s">
        <v>15</v>
      </c>
      <c r="H61" s="8"/>
      <c r="I61" s="19" t="s">
        <v>292</v>
      </c>
      <c r="J61" s="8"/>
      <c r="K61" s="8"/>
      <c r="L61" s="19" t="s">
        <v>262</v>
      </c>
      <c r="M61" s="8"/>
    </row>
    <row r="62" spans="2:13" ht="13.5" customHeight="1" x14ac:dyDescent="0.4"/>
    <row r="63" spans="2:13" ht="13.5" customHeight="1" x14ac:dyDescent="0.4"/>
    <row r="64" spans="2:13" ht="13.5" customHeight="1" x14ac:dyDescent="0.4"/>
    <row r="65" ht="13.5" customHeight="1" x14ac:dyDescent="0.4"/>
    <row r="66" ht="13.5" customHeight="1" x14ac:dyDescent="0.4"/>
    <row r="67" ht="13.5" customHeight="1" x14ac:dyDescent="0.4"/>
  </sheetData>
  <mergeCells count="19">
    <mergeCell ref="O46:P46"/>
    <mergeCell ref="C51:H51"/>
    <mergeCell ref="C52:H52"/>
    <mergeCell ref="C53:H54"/>
    <mergeCell ref="K53:K54"/>
    <mergeCell ref="L53:L54"/>
    <mergeCell ref="C49:H50"/>
    <mergeCell ref="K49:K50"/>
    <mergeCell ref="L49:L50"/>
    <mergeCell ref="C4:M4"/>
    <mergeCell ref="C5:L5"/>
    <mergeCell ref="C6:L6"/>
    <mergeCell ref="C7:L7"/>
    <mergeCell ref="C8:L8"/>
    <mergeCell ref="C14:E14"/>
    <mergeCell ref="C16:E16"/>
    <mergeCell ref="C27:I27"/>
    <mergeCell ref="E29:H29"/>
    <mergeCell ref="G36:I36"/>
  </mergeCells>
  <pageMargins left="0.19685039370078741" right="0" top="0.15748031496062992" bottom="0.15748031496062992" header="0.31496062992125984" footer="0.31496062992125984"/>
  <pageSetup paperSize="9" scale="8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4C6F76-CE05-4976-BD72-221BD02620BD}">
  <dimension ref="B2:M66"/>
  <sheetViews>
    <sheetView topLeftCell="A13" workbookViewId="0">
      <selection sqref="A1:XFD1048576"/>
    </sheetView>
  </sheetViews>
  <sheetFormatPr defaultRowHeight="14.6" x14ac:dyDescent="0.4"/>
  <cols>
    <col min="1" max="1" width="2.3046875" customWidth="1"/>
    <col min="2" max="2" width="13.3046875" customWidth="1"/>
    <col min="3" max="3" width="4.84375" customWidth="1"/>
    <col min="4" max="4" width="12.3046875" customWidth="1"/>
    <col min="5" max="5" width="1.53515625" customWidth="1"/>
    <col min="6" max="6" width="20.53515625" customWidth="1"/>
    <col min="7" max="7" width="22.3046875" customWidth="1"/>
    <col min="8" max="8" width="23.3046875" hidden="1" customWidth="1"/>
    <col min="9" max="9" width="11.84375" customWidth="1"/>
    <col min="10" max="10" width="13.69140625" customWidth="1"/>
    <col min="11" max="11" width="12.3046875" customWidth="1"/>
    <col min="12" max="12" width="13.69140625" customWidth="1"/>
    <col min="13" max="13" width="11.53515625" customWidth="1"/>
  </cols>
  <sheetData>
    <row r="2" spans="2:12" x14ac:dyDescent="0.4">
      <c r="B2" s="246" t="s">
        <v>329</v>
      </c>
    </row>
    <row r="3" spans="2:12" x14ac:dyDescent="0.4">
      <c r="B3" s="246"/>
    </row>
    <row r="4" spans="2:12" x14ac:dyDescent="0.4">
      <c r="B4" s="246"/>
    </row>
    <row r="5" spans="2:12" x14ac:dyDescent="0.4">
      <c r="B5" s="246"/>
    </row>
    <row r="6" spans="2:12" x14ac:dyDescent="0.4">
      <c r="B6" s="246"/>
    </row>
    <row r="7" spans="2:12" ht="14.15" customHeight="1" x14ac:dyDescent="0.4">
      <c r="B7" s="468" t="s">
        <v>0</v>
      </c>
      <c r="C7" s="468"/>
      <c r="D7" s="468"/>
      <c r="E7" s="468"/>
      <c r="F7" s="468"/>
      <c r="G7" s="468"/>
      <c r="H7" s="468"/>
      <c r="I7" s="468"/>
      <c r="J7" s="468"/>
      <c r="K7" s="468"/>
      <c r="L7" s="468"/>
    </row>
    <row r="8" spans="2:12" ht="14.15" customHeight="1" x14ac:dyDescent="0.4">
      <c r="B8" s="19"/>
      <c r="C8" s="19"/>
      <c r="D8" s="19"/>
      <c r="E8" s="19"/>
      <c r="F8" s="19"/>
      <c r="G8" s="19" t="s">
        <v>18</v>
      </c>
      <c r="H8" s="19"/>
      <c r="I8" s="19"/>
      <c r="J8" s="19"/>
      <c r="K8" s="19"/>
      <c r="L8" s="1"/>
    </row>
    <row r="9" spans="2:12" ht="14.15" customHeight="1" x14ac:dyDescent="0.4">
      <c r="B9" s="8"/>
      <c r="C9" s="8"/>
      <c r="D9" s="8"/>
      <c r="E9" s="8"/>
      <c r="F9" s="473" t="s">
        <v>378</v>
      </c>
      <c r="G9" s="473"/>
      <c r="H9" s="473"/>
      <c r="I9" s="473"/>
      <c r="J9" s="473"/>
      <c r="K9" s="8"/>
    </row>
    <row r="10" spans="2:12" ht="14.15" customHeight="1" thickBot="1" x14ac:dyDescent="0.45">
      <c r="B10" s="8"/>
      <c r="C10" s="8"/>
      <c r="D10" s="8"/>
      <c r="E10" s="8"/>
      <c r="F10" s="8"/>
      <c r="G10" s="8"/>
      <c r="H10" s="8"/>
      <c r="I10" s="8"/>
      <c r="J10" s="8"/>
      <c r="K10" s="8"/>
    </row>
    <row r="11" spans="2:12" ht="21.75" customHeight="1" x14ac:dyDescent="0.4">
      <c r="B11" s="145"/>
      <c r="C11" s="146"/>
      <c r="D11" s="147"/>
      <c r="E11" s="146"/>
      <c r="F11" s="168"/>
      <c r="G11" s="464" t="s">
        <v>304</v>
      </c>
      <c r="H11" s="464" t="s">
        <v>299</v>
      </c>
      <c r="I11" s="464" t="s">
        <v>293</v>
      </c>
      <c r="J11" s="472" t="s">
        <v>301</v>
      </c>
      <c r="K11" s="472"/>
      <c r="L11" s="464" t="s">
        <v>296</v>
      </c>
    </row>
    <row r="12" spans="2:12" ht="30" customHeight="1" thickBot="1" x14ac:dyDescent="0.45">
      <c r="B12" s="148" t="s">
        <v>5</v>
      </c>
      <c r="C12" s="149"/>
      <c r="D12" s="150" t="s">
        <v>309</v>
      </c>
      <c r="E12" s="149"/>
      <c r="F12" s="169" t="s">
        <v>1</v>
      </c>
      <c r="G12" s="465"/>
      <c r="H12" s="465"/>
      <c r="I12" s="465"/>
      <c r="J12" s="156" t="s">
        <v>302</v>
      </c>
      <c r="K12" s="144" t="s">
        <v>303</v>
      </c>
      <c r="L12" s="465"/>
    </row>
    <row r="13" spans="2:12" ht="16.2" customHeight="1" x14ac:dyDescent="0.4">
      <c r="B13" s="137" t="s">
        <v>52</v>
      </c>
      <c r="C13" s="19"/>
      <c r="D13" s="155"/>
      <c r="E13" s="19"/>
      <c r="F13" s="170"/>
      <c r="G13" s="110"/>
      <c r="H13" s="110"/>
      <c r="I13" s="157"/>
      <c r="J13" s="178"/>
      <c r="K13" s="183"/>
      <c r="L13" s="186"/>
    </row>
    <row r="14" spans="2:12" ht="16.2" customHeight="1" x14ac:dyDescent="0.4">
      <c r="B14" s="138" t="s">
        <v>25</v>
      </c>
      <c r="C14" s="139" t="s">
        <v>245</v>
      </c>
      <c r="D14" s="140">
        <v>2623</v>
      </c>
      <c r="E14" s="141"/>
      <c r="F14" s="171" t="s">
        <v>345</v>
      </c>
      <c r="G14" s="158">
        <v>100</v>
      </c>
      <c r="H14" s="158"/>
      <c r="I14" s="140"/>
      <c r="J14" s="114"/>
      <c r="K14" s="184"/>
      <c r="L14" s="163"/>
    </row>
    <row r="15" spans="2:12" ht="16.2" customHeight="1" x14ac:dyDescent="0.4">
      <c r="B15" s="138" t="s">
        <v>25</v>
      </c>
      <c r="C15" s="141"/>
      <c r="D15" s="140">
        <v>2624</v>
      </c>
      <c r="E15" s="141"/>
      <c r="F15" s="172" t="s">
        <v>233</v>
      </c>
      <c r="G15" s="158">
        <v>100</v>
      </c>
      <c r="H15" s="158"/>
      <c r="I15" s="140"/>
      <c r="J15" s="114"/>
      <c r="K15" s="184"/>
      <c r="L15" s="163"/>
    </row>
    <row r="16" spans="2:12" ht="16.2" customHeight="1" x14ac:dyDescent="0.4">
      <c r="B16" s="138" t="s">
        <v>25</v>
      </c>
      <c r="C16" s="141"/>
      <c r="D16" s="140">
        <v>2625</v>
      </c>
      <c r="E16" s="141"/>
      <c r="F16" s="172" t="s">
        <v>23</v>
      </c>
      <c r="G16" s="158">
        <v>200</v>
      </c>
      <c r="H16" s="159"/>
      <c r="I16" s="160" t="s">
        <v>245</v>
      </c>
      <c r="J16" s="114" t="s">
        <v>245</v>
      </c>
      <c r="K16" s="185" t="s">
        <v>245</v>
      </c>
      <c r="L16" s="167" t="s">
        <v>245</v>
      </c>
    </row>
    <row r="17" spans="2:12" ht="16.2" customHeight="1" x14ac:dyDescent="0.4">
      <c r="B17" s="138" t="s">
        <v>25</v>
      </c>
      <c r="C17" s="141"/>
      <c r="D17" s="140">
        <v>2626</v>
      </c>
      <c r="E17" s="141"/>
      <c r="F17" s="173" t="s">
        <v>201</v>
      </c>
      <c r="G17" s="158">
        <v>150</v>
      </c>
      <c r="H17" s="159"/>
      <c r="I17" s="160"/>
      <c r="J17" s="114"/>
      <c r="K17" s="185"/>
      <c r="L17" s="167"/>
    </row>
    <row r="18" spans="2:12" ht="16.2" customHeight="1" x14ac:dyDescent="0.4">
      <c r="B18" s="138" t="s">
        <v>25</v>
      </c>
      <c r="C18" s="141"/>
      <c r="D18" s="140">
        <v>2627</v>
      </c>
      <c r="E18" s="141"/>
      <c r="F18" s="173" t="s">
        <v>232</v>
      </c>
      <c r="G18" s="158">
        <v>100</v>
      </c>
      <c r="H18" s="159"/>
      <c r="I18" s="160"/>
      <c r="J18" s="114"/>
      <c r="K18" s="185"/>
      <c r="L18" s="167"/>
    </row>
    <row r="19" spans="2:12" ht="16.2" customHeight="1" x14ac:dyDescent="0.4">
      <c r="B19" s="138" t="s">
        <v>25</v>
      </c>
      <c r="C19" s="141"/>
      <c r="D19" s="140">
        <v>2628</v>
      </c>
      <c r="E19" s="141"/>
      <c r="F19" s="172" t="s">
        <v>41</v>
      </c>
      <c r="G19" s="158">
        <v>100</v>
      </c>
      <c r="H19" s="159"/>
      <c r="I19" s="160"/>
      <c r="J19" s="114"/>
      <c r="K19" s="185"/>
      <c r="L19" s="167"/>
    </row>
    <row r="20" spans="2:12" ht="16.2" customHeight="1" x14ac:dyDescent="0.4">
      <c r="B20" s="138" t="s">
        <v>25</v>
      </c>
      <c r="C20" s="141"/>
      <c r="D20" s="140">
        <v>2629</v>
      </c>
      <c r="E20" s="141"/>
      <c r="F20" s="173" t="s">
        <v>379</v>
      </c>
      <c r="G20" s="158">
        <v>100</v>
      </c>
      <c r="H20" s="159"/>
      <c r="I20" s="160"/>
      <c r="J20" s="114"/>
      <c r="K20" s="185"/>
      <c r="L20" s="167"/>
    </row>
    <row r="21" spans="2:12" ht="18" customHeight="1" x14ac:dyDescent="0.4">
      <c r="B21" s="154" t="s">
        <v>307</v>
      </c>
      <c r="D21" s="111"/>
      <c r="F21" s="109"/>
      <c r="G21" s="161">
        <f>SUM(G14:G20)</f>
        <v>850</v>
      </c>
      <c r="H21" s="161"/>
      <c r="I21" s="162">
        <f>G21-J21</f>
        <v>0</v>
      </c>
      <c r="J21" s="114">
        <v>850</v>
      </c>
      <c r="K21" s="185">
        <v>150</v>
      </c>
      <c r="L21" s="198">
        <f>J21+K21</f>
        <v>1000</v>
      </c>
    </row>
    <row r="22" spans="2:12" ht="16.2" customHeight="1" x14ac:dyDescent="0.4">
      <c r="B22" s="138">
        <v>14</v>
      </c>
      <c r="C22" s="141"/>
      <c r="D22" s="140">
        <v>2630</v>
      </c>
      <c r="E22" s="141"/>
      <c r="F22" s="173" t="s">
        <v>33</v>
      </c>
      <c r="G22" s="158">
        <v>100</v>
      </c>
      <c r="H22" s="159"/>
      <c r="I22" s="140"/>
      <c r="J22" s="114"/>
      <c r="K22" s="185"/>
      <c r="L22" s="166" t="s">
        <v>245</v>
      </c>
    </row>
    <row r="23" spans="2:12" ht="16.2" customHeight="1" x14ac:dyDescent="0.4">
      <c r="B23" s="138">
        <v>14</v>
      </c>
      <c r="C23" s="141"/>
      <c r="D23" s="140">
        <v>2631</v>
      </c>
      <c r="E23" s="141"/>
      <c r="F23" s="173" t="s">
        <v>232</v>
      </c>
      <c r="G23" s="158">
        <v>100</v>
      </c>
      <c r="H23" s="159"/>
      <c r="I23" s="140"/>
      <c r="J23" s="114"/>
      <c r="K23" s="185"/>
      <c r="L23" s="166"/>
    </row>
    <row r="24" spans="2:12" ht="16.2" customHeight="1" x14ac:dyDescent="0.4">
      <c r="B24" s="138">
        <v>14</v>
      </c>
      <c r="C24" s="141"/>
      <c r="D24" s="140">
        <v>2632</v>
      </c>
      <c r="E24" s="141"/>
      <c r="F24" s="173" t="s">
        <v>380</v>
      </c>
      <c r="G24" s="158">
        <v>100</v>
      </c>
      <c r="H24" s="159"/>
      <c r="I24" s="140"/>
      <c r="J24" s="114"/>
      <c r="K24" s="185"/>
      <c r="L24" s="166"/>
    </row>
    <row r="25" spans="2:12" ht="16.2" customHeight="1" x14ac:dyDescent="0.4">
      <c r="B25" s="138">
        <v>14</v>
      </c>
      <c r="C25" s="141"/>
      <c r="D25" s="140">
        <v>2633</v>
      </c>
      <c r="E25" s="141"/>
      <c r="F25" s="173" t="s">
        <v>346</v>
      </c>
      <c r="G25" s="158">
        <v>150</v>
      </c>
      <c r="H25" s="159"/>
      <c r="I25" s="140"/>
      <c r="J25" s="114"/>
      <c r="K25" s="185"/>
      <c r="L25" s="166"/>
    </row>
    <row r="26" spans="2:12" ht="16.2" customHeight="1" x14ac:dyDescent="0.4">
      <c r="B26" s="138">
        <v>14</v>
      </c>
      <c r="C26" s="141"/>
      <c r="D26" s="140">
        <v>2634</v>
      </c>
      <c r="E26" s="141"/>
      <c r="F26" s="173" t="s">
        <v>381</v>
      </c>
      <c r="G26" s="158">
        <v>50</v>
      </c>
      <c r="H26" s="159"/>
      <c r="I26" s="140"/>
      <c r="J26" s="114"/>
      <c r="K26" s="185"/>
      <c r="L26" s="166"/>
    </row>
    <row r="27" spans="2:12" ht="16.2" customHeight="1" x14ac:dyDescent="0.4">
      <c r="B27" s="138">
        <v>14</v>
      </c>
      <c r="C27" s="141"/>
      <c r="D27" s="140">
        <v>2635</v>
      </c>
      <c r="E27" s="141"/>
      <c r="F27" s="173" t="s">
        <v>382</v>
      </c>
      <c r="G27" s="158">
        <v>100</v>
      </c>
      <c r="H27" s="159"/>
      <c r="I27" s="140"/>
      <c r="J27" s="114"/>
      <c r="K27" s="185"/>
      <c r="L27" s="166"/>
    </row>
    <row r="28" spans="2:12" ht="16.2" customHeight="1" x14ac:dyDescent="0.4">
      <c r="B28" s="138">
        <v>14</v>
      </c>
      <c r="C28" s="141"/>
      <c r="D28" s="140" t="s">
        <v>399</v>
      </c>
      <c r="E28" s="141"/>
      <c r="F28" s="290" t="s">
        <v>386</v>
      </c>
      <c r="G28" s="291">
        <v>100</v>
      </c>
      <c r="H28" s="159"/>
      <c r="I28" s="140"/>
      <c r="J28" s="114"/>
      <c r="K28" s="185"/>
      <c r="L28" s="166"/>
    </row>
    <row r="29" spans="2:12" ht="16.2" customHeight="1" x14ac:dyDescent="0.4">
      <c r="B29" s="154" t="s">
        <v>307</v>
      </c>
      <c r="C29" s="141"/>
      <c r="D29" s="140"/>
      <c r="E29" s="141"/>
      <c r="F29" s="173"/>
      <c r="G29" s="289">
        <f>SUM(G22:G28)</f>
        <v>700</v>
      </c>
      <c r="H29" s="159"/>
      <c r="I29" s="162">
        <f>G29-J29</f>
        <v>0</v>
      </c>
      <c r="J29" s="114">
        <v>700</v>
      </c>
      <c r="K29" s="185">
        <v>300</v>
      </c>
      <c r="L29" s="198">
        <f>J29+K29</f>
        <v>1000</v>
      </c>
    </row>
    <row r="30" spans="2:12" ht="16.2" customHeight="1" x14ac:dyDescent="0.4">
      <c r="B30" s="138">
        <v>21</v>
      </c>
      <c r="C30" s="141"/>
      <c r="D30" s="140">
        <v>2636</v>
      </c>
      <c r="E30" s="141"/>
      <c r="F30" s="173" t="s">
        <v>232</v>
      </c>
      <c r="G30" s="158">
        <v>100</v>
      </c>
      <c r="H30" s="159"/>
      <c r="I30" s="140"/>
      <c r="J30" s="114"/>
      <c r="K30" s="185"/>
      <c r="L30" s="166"/>
    </row>
    <row r="31" spans="2:12" ht="16.2" customHeight="1" x14ac:dyDescent="0.4">
      <c r="B31" s="138">
        <v>21</v>
      </c>
      <c r="C31" s="141"/>
      <c r="D31" s="140">
        <v>2637</v>
      </c>
      <c r="E31" s="141"/>
      <c r="F31" s="173" t="s">
        <v>345</v>
      </c>
      <c r="G31" s="158">
        <v>100</v>
      </c>
      <c r="H31" s="159"/>
      <c r="I31" s="140"/>
      <c r="J31" s="114"/>
      <c r="K31" s="185"/>
      <c r="L31" s="166"/>
    </row>
    <row r="32" spans="2:12" ht="16.2" customHeight="1" x14ac:dyDescent="0.4">
      <c r="B32" s="138">
        <v>21</v>
      </c>
      <c r="C32" s="141"/>
      <c r="D32" s="140">
        <v>2638</v>
      </c>
      <c r="E32" s="141"/>
      <c r="F32" s="173" t="s">
        <v>383</v>
      </c>
      <c r="G32" s="158">
        <v>50</v>
      </c>
      <c r="H32" s="159"/>
      <c r="I32" s="140"/>
      <c r="J32" s="114"/>
      <c r="K32" s="185"/>
      <c r="L32" s="166"/>
    </row>
    <row r="33" spans="2:13" ht="16.2" customHeight="1" x14ac:dyDescent="0.4">
      <c r="B33" s="138">
        <v>21</v>
      </c>
      <c r="C33" s="141"/>
      <c r="D33" s="140">
        <v>2639</v>
      </c>
      <c r="E33" s="141"/>
      <c r="F33" s="172" t="s">
        <v>348</v>
      </c>
      <c r="G33" s="158">
        <v>500</v>
      </c>
      <c r="H33" s="159"/>
      <c r="I33" s="140"/>
      <c r="J33" s="114"/>
      <c r="K33" s="185"/>
      <c r="L33" s="166"/>
    </row>
    <row r="34" spans="2:13" ht="16.2" customHeight="1" x14ac:dyDescent="0.4">
      <c r="B34" s="138">
        <v>21</v>
      </c>
      <c r="C34" s="141"/>
      <c r="D34" s="140">
        <v>2640</v>
      </c>
      <c r="E34" s="141"/>
      <c r="F34" s="172" t="s">
        <v>41</v>
      </c>
      <c r="G34" s="158">
        <v>100</v>
      </c>
      <c r="H34" s="159"/>
      <c r="I34" s="140"/>
      <c r="J34" s="114"/>
      <c r="K34" s="185"/>
      <c r="L34" s="166"/>
    </row>
    <row r="35" spans="2:13" ht="16.2" customHeight="1" x14ac:dyDescent="0.4">
      <c r="B35" s="138">
        <v>21</v>
      </c>
      <c r="C35" s="141"/>
      <c r="D35" s="140">
        <v>2641</v>
      </c>
      <c r="E35" s="141"/>
      <c r="F35" s="173" t="s">
        <v>382</v>
      </c>
      <c r="G35" s="158">
        <v>100</v>
      </c>
      <c r="H35" s="159"/>
      <c r="I35" s="140"/>
      <c r="J35" s="114"/>
      <c r="K35" s="185"/>
      <c r="L35" s="166"/>
    </row>
    <row r="36" spans="2:13" ht="18" customHeight="1" x14ac:dyDescent="0.4">
      <c r="B36" s="154" t="s">
        <v>307</v>
      </c>
      <c r="D36" s="111"/>
      <c r="F36" s="109"/>
      <c r="G36" s="161">
        <f>SUM(G30:G35)</f>
        <v>950</v>
      </c>
      <c r="H36" s="161"/>
      <c r="I36" s="162">
        <f>G36-J36</f>
        <v>0</v>
      </c>
      <c r="J36" s="142">
        <v>950</v>
      </c>
      <c r="K36" s="185">
        <v>50</v>
      </c>
      <c r="L36" s="198">
        <f>J36+K36</f>
        <v>1000</v>
      </c>
      <c r="M36" s="135"/>
    </row>
    <row r="37" spans="2:13" ht="16.2" customHeight="1" x14ac:dyDescent="0.4">
      <c r="B37" s="138">
        <v>28</v>
      </c>
      <c r="C37" s="141"/>
      <c r="D37" s="140">
        <v>2642</v>
      </c>
      <c r="E37" s="141"/>
      <c r="F37" s="173" t="s">
        <v>14</v>
      </c>
      <c r="G37" s="275">
        <v>100</v>
      </c>
      <c r="H37" s="159"/>
      <c r="I37" s="140"/>
      <c r="J37" s="179"/>
      <c r="K37" s="185"/>
      <c r="L37" s="199"/>
    </row>
    <row r="38" spans="2:13" ht="16.2" customHeight="1" x14ac:dyDescent="0.4">
      <c r="B38" s="138">
        <v>28</v>
      </c>
      <c r="C38" s="141"/>
      <c r="D38" s="140">
        <v>2643</v>
      </c>
      <c r="E38" s="141"/>
      <c r="F38" s="173" t="s">
        <v>188</v>
      </c>
      <c r="G38" s="275">
        <v>50</v>
      </c>
      <c r="H38" s="159"/>
      <c r="I38" s="140"/>
      <c r="J38" s="179"/>
      <c r="K38" s="185"/>
      <c r="L38" s="199"/>
    </row>
    <row r="39" spans="2:13" ht="16.2" customHeight="1" x14ac:dyDescent="0.4">
      <c r="B39" s="138">
        <v>28</v>
      </c>
      <c r="C39" s="141"/>
      <c r="D39" s="140">
        <v>2644</v>
      </c>
      <c r="E39" s="141"/>
      <c r="F39" s="172" t="s">
        <v>348</v>
      </c>
      <c r="G39" s="275">
        <v>200</v>
      </c>
      <c r="H39" s="159"/>
      <c r="I39" s="140"/>
      <c r="J39" s="179"/>
      <c r="K39" s="185"/>
      <c r="L39" s="199"/>
    </row>
    <row r="40" spans="2:13" ht="16.2" customHeight="1" x14ac:dyDescent="0.4">
      <c r="B40" s="138">
        <v>28</v>
      </c>
      <c r="C40" s="141"/>
      <c r="D40" s="140">
        <v>2645</v>
      </c>
      <c r="E40" s="141"/>
      <c r="F40" s="172" t="s">
        <v>384</v>
      </c>
      <c r="G40" s="275">
        <v>100</v>
      </c>
      <c r="H40" s="159"/>
      <c r="I40" s="140"/>
      <c r="J40" s="142"/>
      <c r="K40" s="185"/>
      <c r="L40" s="199"/>
    </row>
    <row r="41" spans="2:13" ht="16.2" customHeight="1" x14ac:dyDescent="0.4">
      <c r="B41" s="138">
        <v>28</v>
      </c>
      <c r="C41" s="141"/>
      <c r="D41" s="140">
        <v>2646</v>
      </c>
      <c r="E41" s="141"/>
      <c r="F41" s="172" t="s">
        <v>385</v>
      </c>
      <c r="G41" s="275">
        <v>100</v>
      </c>
      <c r="H41" s="159"/>
      <c r="I41" s="140"/>
      <c r="J41" s="142"/>
      <c r="K41" s="185"/>
      <c r="L41" s="199"/>
    </row>
    <row r="42" spans="2:13" ht="16.2" customHeight="1" x14ac:dyDescent="0.4">
      <c r="B42" s="138">
        <v>28</v>
      </c>
      <c r="C42" s="141"/>
      <c r="D42" s="140">
        <v>2647</v>
      </c>
      <c r="E42" s="141"/>
      <c r="F42" s="172" t="s">
        <v>41</v>
      </c>
      <c r="G42" s="275">
        <v>100</v>
      </c>
      <c r="H42" s="159"/>
      <c r="I42" s="140" t="s">
        <v>245</v>
      </c>
      <c r="J42" s="179"/>
      <c r="K42" s="185"/>
      <c r="L42" s="199"/>
    </row>
    <row r="43" spans="2:13" ht="16.2" customHeight="1" x14ac:dyDescent="0.4">
      <c r="B43" s="138">
        <v>28</v>
      </c>
      <c r="C43" s="141"/>
      <c r="D43" s="140">
        <v>2648</v>
      </c>
      <c r="E43" s="141"/>
      <c r="F43" s="172" t="s">
        <v>238</v>
      </c>
      <c r="G43" s="275">
        <v>50</v>
      </c>
      <c r="H43" s="159"/>
      <c r="I43" s="140"/>
      <c r="J43" s="142"/>
      <c r="K43" s="185">
        <v>0</v>
      </c>
      <c r="L43" s="199"/>
    </row>
    <row r="44" spans="2:13" ht="18" customHeight="1" thickBot="1" x14ac:dyDescent="0.45">
      <c r="B44" s="154" t="s">
        <v>307</v>
      </c>
      <c r="D44" s="111"/>
      <c r="F44" s="109"/>
      <c r="G44" s="166">
        <f>SUM(G37:G43)</f>
        <v>700</v>
      </c>
      <c r="H44" s="166"/>
      <c r="I44" s="162">
        <f>G44-J44</f>
        <v>0</v>
      </c>
      <c r="J44" s="180">
        <v>700</v>
      </c>
      <c r="K44" s="181">
        <v>300</v>
      </c>
      <c r="L44" s="198">
        <f>J44+K44</f>
        <v>1000</v>
      </c>
    </row>
    <row r="45" spans="2:13" ht="22.2" customHeight="1" thickBot="1" x14ac:dyDescent="0.45">
      <c r="B45" s="194" t="s">
        <v>297</v>
      </c>
      <c r="C45" s="195"/>
      <c r="D45" s="196"/>
      <c r="E45" s="197"/>
      <c r="F45" s="195"/>
      <c r="G45" s="200">
        <f>G21+G29+G36+G44</f>
        <v>3200</v>
      </c>
      <c r="H45" s="200"/>
      <c r="I45" s="200">
        <f>I21+I36+I44</f>
        <v>0</v>
      </c>
      <c r="J45" s="200">
        <f>J21+J29+J36+J44</f>
        <v>3200</v>
      </c>
      <c r="K45" s="200">
        <f>K21+K29+K36+K44</f>
        <v>800</v>
      </c>
      <c r="L45" s="200">
        <f>L21+L29+L36+L44</f>
        <v>4000</v>
      </c>
    </row>
    <row r="46" spans="2:13" ht="16.2" customHeight="1" x14ac:dyDescent="0.4">
      <c r="B46" s="9"/>
      <c r="C46" s="8"/>
      <c r="D46" s="19"/>
      <c r="E46" s="19"/>
      <c r="F46" s="8"/>
      <c r="G46" s="10"/>
      <c r="H46" s="10"/>
      <c r="I46" s="14" t="s">
        <v>245</v>
      </c>
      <c r="J46" s="14" t="s">
        <v>245</v>
      </c>
      <c r="K46" s="12"/>
      <c r="L46" s="15" t="s">
        <v>245</v>
      </c>
    </row>
    <row r="47" spans="2:13" ht="16.2" customHeight="1" x14ac:dyDescent="0.4">
      <c r="B47" s="9"/>
      <c r="C47" s="8"/>
      <c r="D47" s="19"/>
      <c r="E47" s="19"/>
      <c r="F47" s="8"/>
      <c r="G47" s="10"/>
      <c r="H47" s="10"/>
      <c r="I47" s="14" t="s">
        <v>245</v>
      </c>
      <c r="J47" s="14"/>
      <c r="K47" s="12"/>
      <c r="L47" s="15"/>
    </row>
    <row r="48" spans="2:13" ht="14.15" customHeight="1" x14ac:dyDescent="0.4">
      <c r="B48" s="9"/>
      <c r="C48" s="8"/>
      <c r="D48" s="19"/>
      <c r="E48" s="19"/>
      <c r="F48" s="8"/>
      <c r="G48" s="10"/>
      <c r="H48" s="10"/>
      <c r="I48" s="14"/>
      <c r="J48" s="14"/>
      <c r="K48" s="12"/>
      <c r="L48" s="15"/>
    </row>
    <row r="49" spans="2:11" ht="14.15" customHeight="1" x14ac:dyDescent="0.4">
      <c r="B49" s="8"/>
      <c r="C49" s="8"/>
      <c r="D49" s="8" t="s">
        <v>245</v>
      </c>
      <c r="E49" s="8"/>
      <c r="F49" s="8"/>
      <c r="G49" s="8"/>
      <c r="H49" s="8"/>
      <c r="I49" s="8"/>
      <c r="J49" s="8"/>
      <c r="K49" s="8"/>
    </row>
    <row r="50" spans="2:11" ht="14.15" customHeight="1" x14ac:dyDescent="0.4">
      <c r="B50" s="8"/>
      <c r="C50" s="8"/>
      <c r="D50" s="19" t="s">
        <v>245</v>
      </c>
      <c r="E50" s="8"/>
      <c r="F50" s="19" t="s">
        <v>245</v>
      </c>
      <c r="G50" s="8"/>
      <c r="H50" s="8"/>
      <c r="I50" s="8"/>
      <c r="J50" s="8"/>
      <c r="K50" s="8"/>
    </row>
    <row r="51" spans="2:11" ht="14.15" customHeight="1" x14ac:dyDescent="0.4">
      <c r="B51" s="8"/>
      <c r="C51" s="8"/>
      <c r="D51" s="8"/>
      <c r="E51" s="8"/>
      <c r="F51" s="19"/>
      <c r="G51" s="8"/>
      <c r="H51" s="8"/>
      <c r="I51" s="8"/>
      <c r="J51" s="8"/>
      <c r="K51" s="8"/>
    </row>
    <row r="52" spans="2:11" ht="14.15" customHeight="1" x14ac:dyDescent="0.4">
      <c r="B52" s="8"/>
      <c r="C52" s="8"/>
      <c r="D52" s="8"/>
      <c r="E52" s="8"/>
      <c r="F52" s="19"/>
      <c r="G52" s="8"/>
      <c r="H52" s="8"/>
      <c r="I52" s="8"/>
      <c r="J52" s="8"/>
      <c r="K52" s="8"/>
    </row>
    <row r="53" spans="2:11" ht="14.15" customHeight="1" x14ac:dyDescent="0.4">
      <c r="B53" s="8"/>
      <c r="C53" s="8"/>
      <c r="D53" s="8"/>
      <c r="E53" s="8"/>
      <c r="F53" s="19"/>
      <c r="G53" s="8"/>
      <c r="H53" s="8"/>
      <c r="I53" s="8"/>
      <c r="J53" s="8"/>
      <c r="K53" s="8"/>
    </row>
    <row r="54" spans="2:11" ht="14.15" customHeight="1" x14ac:dyDescent="0.4">
      <c r="B54" s="267" t="s">
        <v>397</v>
      </c>
      <c r="C54" s="267"/>
      <c r="D54" s="267"/>
      <c r="E54" s="267"/>
      <c r="F54" s="19"/>
      <c r="G54" s="8"/>
      <c r="H54" s="8"/>
      <c r="I54" s="8"/>
      <c r="J54" s="8"/>
      <c r="K54" s="8"/>
    </row>
    <row r="55" spans="2:11" ht="14.15" customHeight="1" thickBot="1" x14ac:dyDescent="0.45">
      <c r="B55" s="19" t="s">
        <v>245</v>
      </c>
      <c r="C55" s="8"/>
      <c r="D55" s="8"/>
      <c r="E55" s="8"/>
      <c r="F55" s="19"/>
      <c r="G55" s="19"/>
      <c r="H55" s="19"/>
      <c r="I55" s="19"/>
      <c r="J55" s="19"/>
      <c r="K55" s="19"/>
    </row>
    <row r="56" spans="2:11" ht="18" customHeight="1" thickBot="1" x14ac:dyDescent="0.45">
      <c r="B56" s="469" t="s">
        <v>311</v>
      </c>
      <c r="C56" s="470"/>
      <c r="D56" s="470"/>
      <c r="E56" s="471"/>
      <c r="F56" s="209" t="s">
        <v>123</v>
      </c>
      <c r="G56" s="19"/>
      <c r="H56" s="19"/>
      <c r="I56" s="19"/>
      <c r="J56" s="19"/>
      <c r="K56" s="19"/>
    </row>
    <row r="57" spans="2:11" ht="15" customHeight="1" x14ac:dyDescent="0.4">
      <c r="B57" s="276" t="s">
        <v>52</v>
      </c>
      <c r="C57" s="277" t="s">
        <v>25</v>
      </c>
      <c r="D57" s="277" t="s">
        <v>245</v>
      </c>
      <c r="E57" s="277"/>
      <c r="F57" s="278">
        <v>1000</v>
      </c>
      <c r="G57" s="41"/>
      <c r="H57" s="41"/>
      <c r="I57" s="8"/>
      <c r="J57" s="201"/>
      <c r="K57" s="8"/>
    </row>
    <row r="58" spans="2:11" ht="15" customHeight="1" x14ac:dyDescent="0.4">
      <c r="B58" s="279" t="s">
        <v>52</v>
      </c>
      <c r="C58" s="280">
        <v>14</v>
      </c>
      <c r="D58" s="280" t="s">
        <v>245</v>
      </c>
      <c r="E58" s="280"/>
      <c r="F58" s="282">
        <v>1000</v>
      </c>
      <c r="G58" s="10"/>
      <c r="H58" s="10"/>
      <c r="I58" s="10"/>
      <c r="J58" s="202"/>
      <c r="K58" s="10"/>
    </row>
    <row r="59" spans="2:11" ht="15" customHeight="1" x14ac:dyDescent="0.4">
      <c r="B59" s="279" t="s">
        <v>52</v>
      </c>
      <c r="C59" s="280">
        <v>21</v>
      </c>
      <c r="D59" s="280" t="s">
        <v>245</v>
      </c>
      <c r="E59" s="280"/>
      <c r="F59" s="282">
        <v>1000</v>
      </c>
      <c r="G59" s="10"/>
      <c r="H59" s="10"/>
      <c r="I59" s="10"/>
      <c r="J59" s="201"/>
      <c r="K59" s="8"/>
    </row>
    <row r="60" spans="2:11" ht="15" customHeight="1" thickBot="1" x14ac:dyDescent="0.45">
      <c r="B60" s="285" t="s">
        <v>52</v>
      </c>
      <c r="C60" s="283">
        <v>28</v>
      </c>
      <c r="D60" s="283" t="s">
        <v>245</v>
      </c>
      <c r="E60" s="283"/>
      <c r="F60" s="284">
        <v>1000</v>
      </c>
      <c r="G60" s="10"/>
      <c r="H60" s="10"/>
      <c r="I60" s="10"/>
      <c r="J60" s="201"/>
      <c r="K60" s="10"/>
    </row>
    <row r="61" spans="2:11" ht="8.15" customHeight="1" x14ac:dyDescent="0.4">
      <c r="B61" s="210"/>
      <c r="C61" s="211"/>
      <c r="D61" s="212" t="s">
        <v>245</v>
      </c>
      <c r="E61" s="212"/>
      <c r="F61" s="213"/>
      <c r="G61" s="10"/>
      <c r="H61" s="10"/>
      <c r="I61" s="21"/>
      <c r="J61" s="201"/>
      <c r="K61" s="10"/>
    </row>
    <row r="62" spans="2:11" ht="14.15" customHeight="1" thickBot="1" x14ac:dyDescent="0.45">
      <c r="B62" s="466" t="s">
        <v>296</v>
      </c>
      <c r="C62" s="467"/>
      <c r="D62" s="467"/>
      <c r="E62" s="214"/>
      <c r="F62" s="215">
        <f>SUM(F57:F60)</f>
        <v>4000</v>
      </c>
      <c r="G62" s="10"/>
      <c r="H62" s="10"/>
      <c r="I62" s="21"/>
      <c r="J62" s="203"/>
      <c r="K62" s="10"/>
    </row>
    <row r="63" spans="2:11" ht="15.45" x14ac:dyDescent="0.4">
      <c r="B63" s="26"/>
      <c r="C63" s="8"/>
      <c r="D63" s="8"/>
      <c r="E63" s="8"/>
      <c r="F63" s="8"/>
      <c r="G63" s="10"/>
      <c r="H63" s="10"/>
      <c r="I63" s="27"/>
      <c r="J63" s="27"/>
      <c r="K63" s="10"/>
    </row>
    <row r="64" spans="2:11" ht="15.45" x14ac:dyDescent="0.4">
      <c r="B64" s="25"/>
      <c r="C64" s="8"/>
      <c r="D64" s="8"/>
      <c r="E64" s="8"/>
      <c r="F64" s="8"/>
      <c r="G64" s="41"/>
      <c r="H64" s="41"/>
      <c r="I64" s="21"/>
      <c r="J64" s="27"/>
      <c r="K64" s="10"/>
    </row>
    <row r="65" spans="2:11" ht="15.45" x14ac:dyDescent="0.4">
      <c r="B65" s="26"/>
      <c r="C65" s="8"/>
      <c r="D65" s="6"/>
      <c r="E65" s="6"/>
      <c r="F65" s="8"/>
      <c r="G65" s="10"/>
      <c r="H65" s="10"/>
      <c r="I65" s="10"/>
      <c r="J65" s="8"/>
      <c r="K65" s="10"/>
    </row>
    <row r="66" spans="2:11" ht="15.45" x14ac:dyDescent="0.4">
      <c r="F66" s="8"/>
      <c r="I66" s="27"/>
    </row>
  </sheetData>
  <mergeCells count="9">
    <mergeCell ref="B56:E56"/>
    <mergeCell ref="B62:D62"/>
    <mergeCell ref="B7:L7"/>
    <mergeCell ref="F9:J9"/>
    <mergeCell ref="G11:G12"/>
    <mergeCell ref="H11:H12"/>
    <mergeCell ref="I11:I12"/>
    <mergeCell ref="J11:K11"/>
    <mergeCell ref="L11:L12"/>
  </mergeCells>
  <pageMargins left="0.31496062992125984" right="0.11811023622047245" top="0.15748031496062992" bottom="0.15748031496062992" header="0.31496062992125984" footer="0.31496062992125984"/>
  <pageSetup paperSize="9" scale="75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9EB7B3-1E8F-46B2-9C97-1DB54C7F68AD}">
  <dimension ref="B1:S76"/>
  <sheetViews>
    <sheetView topLeftCell="A40" workbookViewId="0">
      <selection activeCell="G45" sqref="G45"/>
    </sheetView>
  </sheetViews>
  <sheetFormatPr defaultRowHeight="14.6" x14ac:dyDescent="0.4"/>
  <cols>
    <col min="1" max="1" width="3.3046875" customWidth="1"/>
    <col min="2" max="2" width="2.3046875" customWidth="1"/>
    <col min="3" max="3" width="16.69140625" customWidth="1"/>
    <col min="4" max="4" width="0.53515625" customWidth="1"/>
    <col min="6" max="6" width="0.84375" customWidth="1"/>
    <col min="7" max="7" width="12" customWidth="1"/>
    <col min="8" max="8" width="19.07421875" customWidth="1"/>
    <col min="9" max="10" width="18.3046875" customWidth="1"/>
    <col min="11" max="11" width="17.07421875" customWidth="1"/>
    <col min="12" max="12" width="3" customWidth="1"/>
    <col min="13" max="13" width="19.53515625" customWidth="1"/>
    <col min="14" max="14" width="1" customWidth="1"/>
    <col min="15" max="15" width="12.84375" customWidth="1"/>
    <col min="16" max="16" width="9.53515625" bestFit="1" customWidth="1"/>
    <col min="17" max="17" width="9.84375" customWidth="1"/>
  </cols>
  <sheetData>
    <row r="1" spans="3:15" ht="6" customHeight="1" x14ac:dyDescent="0.4"/>
    <row r="2" spans="3:15" ht="6" customHeight="1" x14ac:dyDescent="0.4"/>
    <row r="3" spans="3:15" ht="6" customHeight="1" x14ac:dyDescent="0.4"/>
    <row r="4" spans="3:15" ht="20.149999999999999" customHeight="1" x14ac:dyDescent="0.4">
      <c r="C4" s="476" t="s">
        <v>0</v>
      </c>
      <c r="D4" s="476"/>
      <c r="E4" s="476"/>
      <c r="F4" s="476"/>
      <c r="G4" s="476"/>
      <c r="H4" s="476"/>
      <c r="I4" s="476"/>
      <c r="J4" s="476"/>
      <c r="K4" s="476"/>
      <c r="L4" s="476"/>
      <c r="M4" s="476"/>
      <c r="N4" s="476"/>
    </row>
    <row r="5" spans="3:15" ht="20.149999999999999" customHeight="1" x14ac:dyDescent="0.45">
      <c r="C5" s="492" t="s">
        <v>333</v>
      </c>
      <c r="D5" s="492"/>
      <c r="E5" s="492"/>
      <c r="F5" s="492"/>
      <c r="G5" s="492"/>
      <c r="H5" s="492"/>
      <c r="I5" s="492"/>
      <c r="J5" s="492"/>
      <c r="K5" s="492"/>
      <c r="L5" s="492"/>
      <c r="M5" s="492"/>
      <c r="N5" s="243"/>
    </row>
    <row r="6" spans="3:15" ht="20.149999999999999" customHeight="1" x14ac:dyDescent="0.45">
      <c r="C6" s="492" t="s">
        <v>245</v>
      </c>
      <c r="D6" s="492"/>
      <c r="E6" s="492"/>
      <c r="F6" s="492"/>
      <c r="G6" s="492"/>
      <c r="H6" s="492"/>
      <c r="I6" s="492"/>
      <c r="J6" s="492"/>
      <c r="K6" s="492"/>
      <c r="L6" s="492"/>
      <c r="M6" s="492"/>
      <c r="N6" s="243"/>
    </row>
    <row r="7" spans="3:15" ht="20.149999999999999" customHeight="1" x14ac:dyDescent="0.45">
      <c r="C7" s="476" t="s">
        <v>318</v>
      </c>
      <c r="D7" s="476"/>
      <c r="E7" s="476"/>
      <c r="F7" s="476"/>
      <c r="G7" s="476"/>
      <c r="H7" s="476"/>
      <c r="I7" s="476"/>
      <c r="J7" s="476"/>
      <c r="K7" s="476"/>
      <c r="L7" s="476"/>
      <c r="M7" s="476"/>
      <c r="N7" s="243"/>
    </row>
    <row r="8" spans="3:15" ht="20.149999999999999" customHeight="1" x14ac:dyDescent="0.45">
      <c r="C8" s="476" t="s">
        <v>404</v>
      </c>
      <c r="D8" s="476"/>
      <c r="E8" s="476"/>
      <c r="F8" s="476"/>
      <c r="G8" s="476"/>
      <c r="H8" s="476"/>
      <c r="I8" s="476"/>
      <c r="J8" s="476"/>
      <c r="K8" s="476"/>
      <c r="L8" s="476"/>
      <c r="M8" s="476"/>
      <c r="N8" s="221"/>
    </row>
    <row r="9" spans="3:15" ht="15" customHeight="1" x14ac:dyDescent="0.4"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</row>
    <row r="10" spans="3:15" ht="15" customHeight="1" x14ac:dyDescent="0.45">
      <c r="C10" s="220" t="s">
        <v>405</v>
      </c>
      <c r="D10" s="221"/>
      <c r="E10" s="221"/>
      <c r="F10" s="221"/>
      <c r="G10" s="221"/>
      <c r="H10" s="221"/>
      <c r="I10" s="221"/>
      <c r="J10" s="221"/>
      <c r="K10" s="221"/>
      <c r="L10" s="247" t="s">
        <v>326</v>
      </c>
      <c r="M10" s="219">
        <v>11123.699999999999</v>
      </c>
      <c r="N10" s="8"/>
      <c r="O10" s="135" t="s">
        <v>245</v>
      </c>
    </row>
    <row r="11" spans="3:15" ht="15" customHeight="1" x14ac:dyDescent="0.45">
      <c r="C11" s="221"/>
      <c r="D11" s="221"/>
      <c r="E11" s="221"/>
      <c r="F11" s="221"/>
      <c r="G11" s="221"/>
      <c r="H11" s="221"/>
      <c r="I11" s="221"/>
      <c r="J11" s="221"/>
      <c r="K11" s="221"/>
      <c r="L11" s="8"/>
      <c r="M11" s="8"/>
      <c r="N11" s="8"/>
    </row>
    <row r="12" spans="3:15" ht="15" customHeight="1" x14ac:dyDescent="0.45">
      <c r="C12" s="220" t="s">
        <v>406</v>
      </c>
      <c r="D12" s="220"/>
      <c r="E12" s="221"/>
      <c r="F12" s="221"/>
      <c r="G12" s="221"/>
      <c r="H12" s="221"/>
      <c r="I12" s="221"/>
      <c r="J12" s="221"/>
      <c r="K12" s="221"/>
      <c r="L12" s="8"/>
      <c r="M12" s="8"/>
      <c r="N12" s="8"/>
    </row>
    <row r="13" spans="3:15" ht="15" customHeight="1" x14ac:dyDescent="0.45">
      <c r="C13" s="221"/>
      <c r="D13" s="221"/>
      <c r="E13" s="221"/>
      <c r="F13" s="221"/>
      <c r="G13" s="221"/>
      <c r="H13" s="221"/>
      <c r="I13" s="226" t="s">
        <v>245</v>
      </c>
      <c r="J13" s="226"/>
      <c r="K13" s="226" t="s">
        <v>245</v>
      </c>
      <c r="L13" s="19"/>
      <c r="M13" s="8"/>
      <c r="N13" s="8"/>
    </row>
    <row r="14" spans="3:15" ht="15" customHeight="1" x14ac:dyDescent="0.45">
      <c r="C14" s="476" t="s">
        <v>305</v>
      </c>
      <c r="D14" s="476"/>
      <c r="E14" s="476"/>
      <c r="F14" s="221"/>
      <c r="G14" s="221" t="s">
        <v>320</v>
      </c>
      <c r="H14" s="221"/>
      <c r="I14" s="226"/>
      <c r="J14" s="226"/>
      <c r="K14" s="226"/>
      <c r="L14" s="19"/>
      <c r="M14" s="8"/>
      <c r="N14" s="8"/>
    </row>
    <row r="15" spans="3:15" ht="15" customHeight="1" x14ac:dyDescent="0.45">
      <c r="C15" s="238"/>
      <c r="D15" s="238"/>
      <c r="E15" s="238"/>
      <c r="F15" s="221"/>
      <c r="G15" s="221"/>
      <c r="H15" s="221"/>
      <c r="I15" s="226"/>
      <c r="J15" s="226"/>
      <c r="K15" s="226"/>
      <c r="L15" s="19"/>
      <c r="M15" s="8"/>
      <c r="N15" s="8"/>
    </row>
    <row r="16" spans="3:15" ht="15" customHeight="1" x14ac:dyDescent="0.45">
      <c r="C16" s="476" t="s">
        <v>245</v>
      </c>
      <c r="D16" s="476"/>
      <c r="E16" s="476"/>
      <c r="F16" s="221"/>
      <c r="G16" s="221"/>
      <c r="H16" s="239" t="s">
        <v>316</v>
      </c>
      <c r="I16" s="239" t="s">
        <v>2</v>
      </c>
      <c r="J16" s="239" t="s">
        <v>407</v>
      </c>
      <c r="K16" s="239" t="s">
        <v>306</v>
      </c>
      <c r="L16" s="19"/>
      <c r="M16" s="8"/>
      <c r="N16" s="8"/>
    </row>
    <row r="17" spans="3:16" ht="15" customHeight="1" x14ac:dyDescent="0.45">
      <c r="C17" s="221"/>
      <c r="D17" s="221"/>
      <c r="E17" s="226" t="s">
        <v>245</v>
      </c>
      <c r="F17" s="226"/>
      <c r="G17" s="240" t="s">
        <v>245</v>
      </c>
      <c r="H17" s="222" t="s">
        <v>245</v>
      </c>
      <c r="I17" s="241" t="s">
        <v>245</v>
      </c>
      <c r="J17" s="241"/>
      <c r="K17" s="230" t="s">
        <v>245</v>
      </c>
      <c r="L17" s="201"/>
      <c r="M17" s="8"/>
      <c r="N17" s="8"/>
    </row>
    <row r="18" spans="3:16" ht="20.149999999999999" customHeight="1" x14ac:dyDescent="0.45">
      <c r="C18" s="221"/>
      <c r="D18" s="221"/>
      <c r="E18" s="226" t="s">
        <v>57</v>
      </c>
      <c r="F18" s="226"/>
      <c r="G18" s="240" t="s">
        <v>21</v>
      </c>
      <c r="H18" s="222">
        <v>1158</v>
      </c>
      <c r="I18" s="222">
        <v>200</v>
      </c>
      <c r="J18" s="222">
        <v>300</v>
      </c>
      <c r="K18" s="222">
        <f>H18-I18-J18</f>
        <v>658</v>
      </c>
      <c r="L18" s="216"/>
      <c r="M18" s="8"/>
      <c r="N18" s="8"/>
    </row>
    <row r="19" spans="3:16" ht="20.149999999999999" customHeight="1" x14ac:dyDescent="0.45">
      <c r="C19" s="221"/>
      <c r="D19" s="221"/>
      <c r="E19" s="226" t="s">
        <v>57</v>
      </c>
      <c r="F19" s="226"/>
      <c r="G19" s="240">
        <v>12</v>
      </c>
      <c r="H19" s="223">
        <v>909</v>
      </c>
      <c r="I19" s="222">
        <v>0</v>
      </c>
      <c r="J19" s="222">
        <v>0</v>
      </c>
      <c r="K19" s="222">
        <f>H19-I19</f>
        <v>909</v>
      </c>
      <c r="L19" s="216"/>
      <c r="M19" s="8"/>
      <c r="N19" s="8"/>
      <c r="O19" s="272" t="s">
        <v>245</v>
      </c>
    </row>
    <row r="20" spans="3:16" ht="20.149999999999999" customHeight="1" x14ac:dyDescent="0.45">
      <c r="C20" s="221"/>
      <c r="D20" s="221"/>
      <c r="E20" s="226" t="s">
        <v>57</v>
      </c>
      <c r="F20" s="226"/>
      <c r="G20" s="240">
        <v>19</v>
      </c>
      <c r="H20" s="223">
        <v>892</v>
      </c>
      <c r="I20" s="222">
        <v>500</v>
      </c>
      <c r="J20" s="222">
        <v>0</v>
      </c>
      <c r="K20" s="222">
        <f>H20-I20</f>
        <v>392</v>
      </c>
      <c r="L20" s="216"/>
      <c r="M20" s="8"/>
      <c r="N20" s="8"/>
    </row>
    <row r="21" spans="3:16" ht="20.149999999999999" customHeight="1" x14ac:dyDescent="0.75">
      <c r="C21" s="221"/>
      <c r="D21" s="221"/>
      <c r="E21" s="226" t="s">
        <v>57</v>
      </c>
      <c r="F21" s="226"/>
      <c r="G21" s="240">
        <v>26</v>
      </c>
      <c r="H21" s="265">
        <v>806</v>
      </c>
      <c r="I21" s="266">
        <v>400</v>
      </c>
      <c r="J21" s="266">
        <v>0</v>
      </c>
      <c r="K21" s="266">
        <f>H21-I21</f>
        <v>406</v>
      </c>
      <c r="L21" s="216"/>
      <c r="M21" s="44" t="s">
        <v>245</v>
      </c>
      <c r="N21" s="8"/>
    </row>
    <row r="22" spans="3:16" ht="15" customHeight="1" x14ac:dyDescent="0.45">
      <c r="C22" s="221"/>
      <c r="D22" s="221"/>
      <c r="E22" s="226"/>
      <c r="F22" s="226"/>
      <c r="G22" s="240"/>
      <c r="H22" s="223"/>
      <c r="I22" s="222"/>
      <c r="J22" s="222"/>
      <c r="K22" s="222"/>
      <c r="L22" s="216"/>
      <c r="M22" s="44"/>
      <c r="N22" s="8"/>
    </row>
    <row r="23" spans="3:16" ht="15" customHeight="1" x14ac:dyDescent="0.45">
      <c r="C23" s="221"/>
      <c r="D23" s="221"/>
      <c r="E23" s="238" t="s">
        <v>65</v>
      </c>
      <c r="F23" s="221"/>
      <c r="G23" s="226"/>
      <c r="H23" s="296">
        <f>SUM(H18:H21)</f>
        <v>3765</v>
      </c>
      <c r="I23" s="288">
        <f>SUM(I18:I21)</f>
        <v>1100</v>
      </c>
      <c r="J23" s="288">
        <f>SUM(J18:J21)</f>
        <v>300</v>
      </c>
      <c r="K23" s="248">
        <f>SUM(K18:K21)</f>
        <v>2365</v>
      </c>
      <c r="L23" s="218"/>
      <c r="M23" s="44" t="s">
        <v>245</v>
      </c>
      <c r="N23" s="8"/>
      <c r="O23" t="s">
        <v>245</v>
      </c>
      <c r="P23" s="135" t="s">
        <v>245</v>
      </c>
    </row>
    <row r="24" spans="3:16" ht="15" customHeight="1" x14ac:dyDescent="0.45">
      <c r="C24" s="221"/>
      <c r="D24" s="221"/>
      <c r="E24" s="221"/>
      <c r="F24" s="221"/>
      <c r="G24" s="226"/>
      <c r="H24" s="224"/>
      <c r="I24" s="222"/>
      <c r="J24" s="222"/>
      <c r="K24" s="222"/>
      <c r="L24" s="216"/>
      <c r="M24" s="44"/>
      <c r="N24" s="8"/>
    </row>
    <row r="25" spans="3:16" ht="15.75" customHeight="1" x14ac:dyDescent="0.45">
      <c r="C25" s="220" t="s">
        <v>245</v>
      </c>
      <c r="D25" s="221"/>
      <c r="E25" s="221"/>
      <c r="F25" s="221"/>
      <c r="G25" s="226"/>
      <c r="H25" s="224"/>
      <c r="I25" s="222"/>
      <c r="J25" s="222"/>
      <c r="K25" s="248" t="s">
        <v>245</v>
      </c>
      <c r="L25" s="216"/>
      <c r="M25" s="44"/>
      <c r="N25" s="8"/>
    </row>
    <row r="26" spans="3:16" ht="15" customHeight="1" x14ac:dyDescent="0.45">
      <c r="C26" s="221"/>
      <c r="D26" s="221"/>
      <c r="E26" s="221"/>
      <c r="F26" s="221"/>
      <c r="G26" s="226"/>
      <c r="H26" s="224"/>
      <c r="I26" s="222"/>
      <c r="J26" s="222"/>
      <c r="K26" s="222"/>
      <c r="L26" s="216"/>
      <c r="M26" s="44"/>
      <c r="N26" s="8"/>
    </row>
    <row r="27" spans="3:16" ht="15" customHeight="1" x14ac:dyDescent="0.45">
      <c r="C27" s="495" t="s">
        <v>376</v>
      </c>
      <c r="D27" s="495"/>
      <c r="E27" s="495"/>
      <c r="F27" s="495"/>
      <c r="G27" s="495"/>
      <c r="H27" s="495"/>
      <c r="I27" s="495"/>
      <c r="J27" s="297"/>
      <c r="K27" s="219" t="s">
        <v>245</v>
      </c>
      <c r="L27" s="219"/>
      <c r="M27" s="225" t="s">
        <v>245</v>
      </c>
      <c r="N27" s="8"/>
    </row>
    <row r="28" spans="3:16" ht="15" customHeight="1" x14ac:dyDescent="0.45">
      <c r="C28" s="220"/>
      <c r="D28" s="221"/>
      <c r="E28" s="221"/>
      <c r="F28" s="221"/>
      <c r="G28" s="221"/>
      <c r="H28" s="226"/>
      <c r="I28" s="230"/>
      <c r="J28" s="230"/>
      <c r="K28" s="219"/>
      <c r="L28" s="219"/>
      <c r="M28" s="225"/>
      <c r="N28" s="8"/>
    </row>
    <row r="29" spans="3:16" ht="22.95" customHeight="1" x14ac:dyDescent="0.45">
      <c r="C29" s="220"/>
      <c r="D29" s="221"/>
      <c r="E29" s="475" t="s">
        <v>377</v>
      </c>
      <c r="F29" s="475"/>
      <c r="G29" s="475"/>
      <c r="H29" s="475"/>
      <c r="I29" s="230"/>
      <c r="J29" s="230"/>
      <c r="K29" s="299">
        <f>'May-2024-Sched A'!I49</f>
        <v>600</v>
      </c>
      <c r="L29" s="219"/>
      <c r="M29" s="231">
        <f>K29+K23</f>
        <v>2965</v>
      </c>
      <c r="N29" s="8"/>
      <c r="O29" s="304">
        <v>2915</v>
      </c>
      <c r="P29" s="135">
        <f>O29-M29</f>
        <v>-50</v>
      </c>
    </row>
    <row r="30" spans="3:16" ht="15" customHeight="1" x14ac:dyDescent="0.75">
      <c r="C30" s="242"/>
      <c r="D30" s="236"/>
      <c r="E30" s="243"/>
      <c r="F30" s="236"/>
      <c r="G30" s="226"/>
      <c r="H30" s="226"/>
      <c r="I30" s="226"/>
      <c r="J30" s="226"/>
      <c r="K30" s="222"/>
      <c r="L30" s="222"/>
      <c r="M30" s="244"/>
      <c r="N30" s="8"/>
    </row>
    <row r="31" spans="3:16" ht="15" customHeight="1" x14ac:dyDescent="0.45">
      <c r="C31" s="220" t="s">
        <v>430</v>
      </c>
      <c r="D31" s="220"/>
      <c r="E31" s="221"/>
      <c r="F31" s="221"/>
      <c r="G31" s="221"/>
      <c r="H31" s="221"/>
      <c r="I31" s="221"/>
      <c r="J31" s="221"/>
      <c r="K31" s="221"/>
      <c r="L31" s="221"/>
      <c r="M31" s="300">
        <v>9000</v>
      </c>
      <c r="N31" s="8"/>
    </row>
    <row r="32" spans="3:16" ht="15" customHeight="1" x14ac:dyDescent="0.75">
      <c r="C32" s="242"/>
      <c r="D32" s="236"/>
      <c r="E32" s="243"/>
      <c r="F32" s="236"/>
      <c r="G32" s="226"/>
      <c r="H32" s="226"/>
      <c r="I32" s="226"/>
      <c r="J32" s="226"/>
      <c r="K32" s="222"/>
      <c r="L32" s="222"/>
      <c r="M32" s="244"/>
      <c r="N32" s="8"/>
    </row>
    <row r="33" spans="3:15" ht="20.149999999999999" customHeight="1" x14ac:dyDescent="0.45">
      <c r="C33" s="220" t="s">
        <v>313</v>
      </c>
      <c r="D33" s="220"/>
      <c r="E33" s="221"/>
      <c r="F33" s="221"/>
      <c r="G33" s="221"/>
      <c r="H33" s="221"/>
      <c r="I33" s="221"/>
      <c r="J33" s="221"/>
      <c r="K33" s="221"/>
      <c r="L33" s="247" t="s">
        <v>326</v>
      </c>
      <c r="M33" s="219">
        <f>M10+M29+M31</f>
        <v>23088.699999999997</v>
      </c>
      <c r="N33" s="8"/>
      <c r="O33" t="s">
        <v>245</v>
      </c>
    </row>
    <row r="34" spans="3:15" ht="13.5" customHeight="1" x14ac:dyDescent="0.45">
      <c r="C34" s="220"/>
      <c r="D34" s="220"/>
      <c r="E34" s="221"/>
      <c r="F34" s="221"/>
      <c r="G34" s="221"/>
      <c r="H34" s="221"/>
      <c r="I34" s="221"/>
      <c r="J34" s="221"/>
      <c r="K34" s="221"/>
      <c r="L34" s="221"/>
      <c r="M34" s="221"/>
      <c r="N34" s="8"/>
    </row>
    <row r="35" spans="3:15" ht="13.5" customHeight="1" x14ac:dyDescent="0.45">
      <c r="C35" s="220"/>
      <c r="D35" s="220"/>
      <c r="E35" s="221"/>
      <c r="F35" s="221"/>
      <c r="G35" s="221"/>
      <c r="H35" s="221"/>
      <c r="I35" s="221"/>
      <c r="J35" s="221"/>
      <c r="K35" s="221"/>
      <c r="L35" s="221"/>
      <c r="M35" s="221"/>
      <c r="N35" s="8"/>
    </row>
    <row r="36" spans="3:15" ht="13.5" customHeight="1" x14ac:dyDescent="0.45">
      <c r="C36" s="220"/>
      <c r="D36" s="220"/>
      <c r="E36" s="221"/>
      <c r="F36" s="221"/>
      <c r="G36" s="221"/>
      <c r="H36" s="221"/>
      <c r="I36" s="221"/>
      <c r="J36" s="221"/>
      <c r="K36" s="221"/>
      <c r="L36" s="221"/>
      <c r="M36" s="221"/>
      <c r="N36" s="8"/>
    </row>
    <row r="37" spans="3:15" ht="13.5" customHeight="1" x14ac:dyDescent="0.45">
      <c r="C37" s="220"/>
      <c r="D37" s="220"/>
      <c r="E37" s="221"/>
      <c r="F37" s="221"/>
      <c r="G37" s="221"/>
      <c r="H37" s="221"/>
      <c r="I37" s="221"/>
      <c r="J37" s="221"/>
      <c r="K37" s="221"/>
      <c r="L37" s="221"/>
      <c r="M37" s="221"/>
      <c r="N37" s="8"/>
    </row>
    <row r="38" spans="3:15" ht="13.5" customHeight="1" x14ac:dyDescent="0.45">
      <c r="C38" s="220" t="s">
        <v>415</v>
      </c>
      <c r="D38" s="220"/>
      <c r="E38" s="221"/>
      <c r="F38" s="221"/>
      <c r="G38" s="221"/>
      <c r="H38" s="221"/>
      <c r="I38" s="221"/>
      <c r="J38" s="221"/>
      <c r="K38" s="221"/>
      <c r="L38" s="221"/>
      <c r="M38" s="221"/>
      <c r="N38" s="8"/>
    </row>
    <row r="39" spans="3:15" ht="15" customHeight="1" x14ac:dyDescent="0.45">
      <c r="C39" s="221" t="s">
        <v>245</v>
      </c>
      <c r="D39" s="221"/>
      <c r="E39" s="221" t="s">
        <v>245</v>
      </c>
      <c r="F39" s="221"/>
      <c r="G39" s="221"/>
      <c r="H39" s="221"/>
      <c r="I39" s="221"/>
      <c r="J39" s="221"/>
      <c r="K39" s="221"/>
      <c r="L39" s="221"/>
      <c r="M39" s="221"/>
      <c r="N39" s="8"/>
    </row>
    <row r="40" spans="3:15" ht="15" customHeight="1" x14ac:dyDescent="0.45">
      <c r="C40" s="239" t="s">
        <v>5</v>
      </c>
      <c r="D40" s="226"/>
      <c r="E40" s="226" t="s">
        <v>257</v>
      </c>
      <c r="F40" s="226"/>
      <c r="G40" s="487" t="s">
        <v>373</v>
      </c>
      <c r="H40" s="487"/>
      <c r="I40" s="487"/>
      <c r="J40" s="236"/>
      <c r="K40" s="236" t="s">
        <v>123</v>
      </c>
      <c r="L40" s="221"/>
      <c r="M40" s="226" t="s">
        <v>245</v>
      </c>
      <c r="N40" s="19"/>
    </row>
    <row r="41" spans="3:15" ht="15" customHeight="1" x14ac:dyDescent="0.45">
      <c r="C41" s="226"/>
      <c r="D41" s="226"/>
      <c r="E41" s="226"/>
      <c r="F41" s="226"/>
      <c r="G41" s="221"/>
      <c r="H41" s="221"/>
      <c r="I41" s="221"/>
      <c r="J41" s="221"/>
      <c r="K41" s="221"/>
      <c r="L41" s="221"/>
      <c r="M41" s="226"/>
      <c r="N41" s="19"/>
    </row>
    <row r="42" spans="3:15" ht="20.149999999999999" customHeight="1" x14ac:dyDescent="0.45">
      <c r="C42" s="292" t="s">
        <v>418</v>
      </c>
      <c r="D42" s="226"/>
      <c r="E42" s="226"/>
      <c r="F42" s="226"/>
      <c r="G42" s="228" t="s">
        <v>423</v>
      </c>
      <c r="H42" s="221"/>
      <c r="I42" s="221"/>
      <c r="J42" s="221"/>
      <c r="K42" s="222">
        <v>400</v>
      </c>
      <c r="L42" s="222"/>
      <c r="M42" s="222"/>
      <c r="N42" s="19"/>
    </row>
    <row r="43" spans="3:15" ht="20.149999999999999" customHeight="1" x14ac:dyDescent="0.45">
      <c r="C43" s="292" t="s">
        <v>419</v>
      </c>
      <c r="D43" s="226"/>
      <c r="E43" s="226"/>
      <c r="F43" s="226"/>
      <c r="G43" s="228" t="s">
        <v>357</v>
      </c>
      <c r="H43" s="221"/>
      <c r="I43" s="221"/>
      <c r="J43" s="221"/>
      <c r="K43" s="222">
        <f>976.8+168.8</f>
        <v>1145.5999999999999</v>
      </c>
      <c r="L43" s="222"/>
      <c r="M43" s="222" t="s">
        <v>245</v>
      </c>
      <c r="N43" s="19"/>
    </row>
    <row r="44" spans="3:15" ht="20.149999999999999" customHeight="1" x14ac:dyDescent="0.75">
      <c r="C44" s="292" t="s">
        <v>419</v>
      </c>
      <c r="D44" s="226"/>
      <c r="E44" s="226"/>
      <c r="F44" s="226"/>
      <c r="G44" s="228" t="s">
        <v>424</v>
      </c>
      <c r="H44" s="221"/>
      <c r="I44" s="221"/>
      <c r="J44" s="221"/>
      <c r="K44" s="222">
        <v>115</v>
      </c>
      <c r="L44" s="222"/>
      <c r="M44" s="266"/>
      <c r="N44" s="19"/>
    </row>
    <row r="45" spans="3:15" ht="20.149999999999999" customHeight="1" x14ac:dyDescent="0.75">
      <c r="C45" s="292" t="s">
        <v>420</v>
      </c>
      <c r="D45" s="226"/>
      <c r="E45" s="226"/>
      <c r="F45" s="226"/>
      <c r="G45" s="228" t="s">
        <v>425</v>
      </c>
      <c r="H45" s="221"/>
      <c r="I45" s="221"/>
      <c r="J45" s="221"/>
      <c r="K45" s="222">
        <v>3000</v>
      </c>
      <c r="L45" s="222"/>
      <c r="M45" s="266"/>
      <c r="N45" s="19"/>
    </row>
    <row r="46" spans="3:15" ht="20.149999999999999" customHeight="1" x14ac:dyDescent="0.75">
      <c r="C46" s="292" t="s">
        <v>421</v>
      </c>
      <c r="D46" s="226"/>
      <c r="E46" s="226"/>
      <c r="F46" s="226"/>
      <c r="G46" s="228" t="s">
        <v>432</v>
      </c>
      <c r="H46" s="221"/>
      <c r="I46" s="221"/>
      <c r="J46" s="221"/>
      <c r="K46" s="222">
        <v>212.25</v>
      </c>
      <c r="L46" s="222"/>
      <c r="M46" s="266"/>
      <c r="N46" s="19"/>
    </row>
    <row r="47" spans="3:15" ht="20.149999999999999" customHeight="1" x14ac:dyDescent="0.85">
      <c r="C47" s="292" t="s">
        <v>422</v>
      </c>
      <c r="D47" s="226"/>
      <c r="E47" s="226"/>
      <c r="F47" s="226"/>
      <c r="G47" s="228" t="s">
        <v>426</v>
      </c>
      <c r="H47" s="221"/>
      <c r="I47" s="221"/>
      <c r="J47" s="221"/>
      <c r="K47" s="266">
        <v>3000</v>
      </c>
      <c r="L47" s="222"/>
      <c r="M47" s="301">
        <f>SUM(K42:K47)</f>
        <v>7872.85</v>
      </c>
      <c r="N47" s="19"/>
    </row>
    <row r="48" spans="3:15" ht="15" customHeight="1" x14ac:dyDescent="0.45">
      <c r="C48" s="227"/>
      <c r="D48" s="227"/>
      <c r="E48" s="229"/>
      <c r="F48" s="229"/>
      <c r="G48" s="228"/>
      <c r="H48" s="221"/>
      <c r="I48" s="221"/>
      <c r="J48" s="221"/>
      <c r="K48" s="230"/>
      <c r="L48" s="230"/>
      <c r="M48" s="230"/>
      <c r="N48" s="201"/>
    </row>
    <row r="49" spans="2:19" ht="20.149999999999999" customHeight="1" x14ac:dyDescent="0.45">
      <c r="C49" s="220" t="s">
        <v>327</v>
      </c>
      <c r="D49" s="220"/>
      <c r="E49" s="221"/>
      <c r="F49" s="221"/>
      <c r="G49" s="221"/>
      <c r="H49" s="221"/>
      <c r="I49" s="221"/>
      <c r="J49" s="221"/>
      <c r="K49" s="221"/>
      <c r="L49" s="221"/>
      <c r="M49" s="231">
        <f>M33-M47</f>
        <v>15215.849999999997</v>
      </c>
      <c r="N49" s="44"/>
    </row>
    <row r="50" spans="2:19" ht="13.5" customHeight="1" x14ac:dyDescent="0.45">
      <c r="C50" s="221"/>
      <c r="D50" s="221"/>
      <c r="E50" s="221"/>
      <c r="F50" s="221"/>
      <c r="G50" s="221"/>
      <c r="H50" s="221"/>
      <c r="I50" s="221"/>
      <c r="J50" s="221"/>
      <c r="K50" s="221"/>
      <c r="L50" s="221"/>
      <c r="M50" s="225"/>
      <c r="N50" s="44"/>
    </row>
    <row r="51" spans="2:19" ht="20.149999999999999" customHeight="1" x14ac:dyDescent="0.85">
      <c r="C51" s="220" t="s">
        <v>416</v>
      </c>
      <c r="D51" s="221"/>
      <c r="E51" s="221"/>
      <c r="F51" s="221"/>
      <c r="G51" s="221"/>
      <c r="H51" s="221"/>
      <c r="I51" s="221"/>
      <c r="J51" s="221"/>
      <c r="K51" s="221"/>
      <c r="L51" s="221"/>
      <c r="M51" s="264">
        <v>9711.5499999999993</v>
      </c>
      <c r="N51" s="44"/>
    </row>
    <row r="52" spans="2:19" ht="13.5" customHeight="1" x14ac:dyDescent="0.45">
      <c r="C52" s="221"/>
      <c r="D52" s="221"/>
      <c r="E52" s="221"/>
      <c r="F52" s="221"/>
      <c r="G52" s="221"/>
      <c r="H52" s="221"/>
      <c r="I52" s="221"/>
      <c r="J52" s="221"/>
      <c r="K52" s="221"/>
      <c r="L52" s="221"/>
      <c r="M52" s="225"/>
      <c r="N52" s="44"/>
    </row>
    <row r="53" spans="2:19" ht="24.45" customHeight="1" thickBot="1" x14ac:dyDescent="0.5">
      <c r="C53" s="220" t="s">
        <v>417</v>
      </c>
      <c r="D53" s="221"/>
      <c r="E53" s="221"/>
      <c r="F53" s="221"/>
      <c r="G53" s="221"/>
      <c r="H53" s="221"/>
      <c r="I53" s="221"/>
      <c r="J53" s="221"/>
      <c r="K53" s="221"/>
      <c r="L53" s="245" t="s">
        <v>326</v>
      </c>
      <c r="M53" s="232">
        <f>M49-M51</f>
        <v>5504.2999999999975</v>
      </c>
      <c r="N53" s="8"/>
      <c r="O53" s="2">
        <f>M49-M51</f>
        <v>5504.2999999999975</v>
      </c>
      <c r="P53" s="135"/>
      <c r="Q53" s="135"/>
      <c r="R53" s="135"/>
      <c r="S53" s="135"/>
    </row>
    <row r="54" spans="2:19" ht="13.5" customHeight="1" thickTop="1" x14ac:dyDescent="0.45">
      <c r="C54" s="221"/>
      <c r="D54" s="221"/>
      <c r="E54" s="220"/>
      <c r="F54" s="220"/>
      <c r="G54" s="221"/>
      <c r="H54" s="221"/>
      <c r="I54" s="221"/>
      <c r="J54" s="221"/>
      <c r="K54" s="221"/>
      <c r="L54" s="221"/>
      <c r="M54" s="221"/>
      <c r="N54" s="8"/>
      <c r="O54" s="135"/>
      <c r="P54" s="474"/>
      <c r="Q54" s="474"/>
    </row>
    <row r="55" spans="2:19" ht="13.5" customHeight="1" x14ac:dyDescent="0.45">
      <c r="C55" s="221"/>
      <c r="D55" s="221"/>
      <c r="E55" s="220"/>
      <c r="F55" s="220"/>
      <c r="G55" s="221"/>
      <c r="H55" s="221"/>
      <c r="I55" s="221"/>
      <c r="J55" s="221"/>
      <c r="K55" s="221"/>
      <c r="L55" s="221"/>
      <c r="M55" s="221"/>
      <c r="N55" s="8"/>
      <c r="O55" s="270"/>
    </row>
    <row r="56" spans="2:19" ht="13.5" customHeight="1" thickBot="1" x14ac:dyDescent="0.45">
      <c r="C56" s="8"/>
      <c r="D56" s="8"/>
      <c r="E56" s="13"/>
      <c r="F56" s="13"/>
      <c r="G56" s="8"/>
      <c r="H56" s="8"/>
      <c r="I56" s="8"/>
      <c r="J56" s="8"/>
      <c r="K56" s="8"/>
      <c r="L56" s="8"/>
      <c r="M56" s="8"/>
      <c r="N56" s="8"/>
    </row>
    <row r="57" spans="2:19" ht="13.5" customHeight="1" x14ac:dyDescent="0.45">
      <c r="B57" s="251"/>
      <c r="C57" s="493" t="s">
        <v>389</v>
      </c>
      <c r="D57" s="493"/>
      <c r="E57" s="493"/>
      <c r="F57" s="493"/>
      <c r="G57" s="493"/>
      <c r="H57" s="493"/>
      <c r="I57" s="252"/>
      <c r="J57" s="252"/>
      <c r="K57" s="252"/>
      <c r="L57" s="483" t="s">
        <v>326</v>
      </c>
      <c r="M57" s="479">
        <v>62096.67</v>
      </c>
      <c r="N57" s="253"/>
    </row>
    <row r="58" spans="2:19" ht="11.15" customHeight="1" x14ac:dyDescent="0.4">
      <c r="B58" s="254"/>
      <c r="C58" s="494"/>
      <c r="D58" s="494"/>
      <c r="E58" s="494"/>
      <c r="F58" s="494"/>
      <c r="G58" s="494"/>
      <c r="H58" s="494"/>
      <c r="I58" s="220"/>
      <c r="J58" s="220"/>
      <c r="K58" s="220"/>
      <c r="L58" s="484"/>
      <c r="M58" s="480"/>
      <c r="N58" s="255"/>
    </row>
    <row r="59" spans="2:19" ht="16.2" customHeight="1" x14ac:dyDescent="0.4">
      <c r="B59" s="256"/>
      <c r="C59" s="496" t="s">
        <v>427</v>
      </c>
      <c r="D59" s="496"/>
      <c r="E59" s="496"/>
      <c r="F59" s="496"/>
      <c r="G59" s="496"/>
      <c r="H59" s="496"/>
      <c r="I59" s="233"/>
      <c r="J59" s="233"/>
      <c r="K59" s="233"/>
      <c r="L59" s="233"/>
      <c r="M59" s="261">
        <v>9711.5499999999993</v>
      </c>
      <c r="N59" s="174"/>
    </row>
    <row r="60" spans="2:19" ht="16.2" customHeight="1" x14ac:dyDescent="0.45">
      <c r="B60" s="254"/>
      <c r="C60" s="497" t="s">
        <v>322</v>
      </c>
      <c r="D60" s="497"/>
      <c r="E60" s="497"/>
      <c r="F60" s="497"/>
      <c r="G60" s="497"/>
      <c r="H60" s="497"/>
      <c r="I60" s="302"/>
      <c r="J60" s="302"/>
      <c r="K60" s="303"/>
      <c r="L60" s="303"/>
      <c r="M60" s="261">
        <f>6.8-1.36</f>
        <v>5.4399999999999995</v>
      </c>
      <c r="N60" s="255"/>
    </row>
    <row r="61" spans="2:19" ht="16.2" customHeight="1" thickBot="1" x14ac:dyDescent="0.5">
      <c r="B61" s="254"/>
      <c r="C61" s="496" t="s">
        <v>428</v>
      </c>
      <c r="D61" s="496"/>
      <c r="E61" s="496"/>
      <c r="F61" s="496"/>
      <c r="G61" s="496"/>
      <c r="H61" s="496"/>
      <c r="I61" s="221"/>
      <c r="J61" s="221"/>
      <c r="K61" s="230"/>
      <c r="L61" s="230"/>
      <c r="M61" s="262">
        <v>-9000</v>
      </c>
      <c r="N61" s="255"/>
    </row>
    <row r="62" spans="2:19" ht="13.5" customHeight="1" x14ac:dyDescent="0.4">
      <c r="B62" s="251"/>
      <c r="C62" s="498" t="s">
        <v>429</v>
      </c>
      <c r="D62" s="498"/>
      <c r="E62" s="498"/>
      <c r="F62" s="498"/>
      <c r="G62" s="498"/>
      <c r="H62" s="498"/>
      <c r="I62" s="260"/>
      <c r="J62" s="260"/>
      <c r="K62" s="260"/>
      <c r="L62" s="485" t="s">
        <v>326</v>
      </c>
      <c r="M62" s="477">
        <f>SUM(M57:M61)</f>
        <v>62813.66</v>
      </c>
      <c r="N62" s="253"/>
    </row>
    <row r="63" spans="2:19" ht="13.5" customHeight="1" thickBot="1" x14ac:dyDescent="0.45">
      <c r="B63" s="257"/>
      <c r="C63" s="499"/>
      <c r="D63" s="499"/>
      <c r="E63" s="499"/>
      <c r="F63" s="499"/>
      <c r="G63" s="499"/>
      <c r="H63" s="499"/>
      <c r="I63" s="258"/>
      <c r="J63" s="258"/>
      <c r="K63" s="258"/>
      <c r="L63" s="486"/>
      <c r="M63" s="478"/>
      <c r="N63" s="259"/>
    </row>
    <row r="64" spans="2:19" ht="13.5" customHeight="1" x14ac:dyDescent="0.4">
      <c r="C64" s="8"/>
      <c r="D64" s="8"/>
      <c r="E64" s="13"/>
      <c r="F64" s="13"/>
      <c r="G64" s="13"/>
      <c r="H64" s="13"/>
      <c r="I64" s="13"/>
      <c r="J64" s="13"/>
      <c r="K64" s="13"/>
      <c r="L64" s="13"/>
      <c r="M64" s="15"/>
      <c r="N64" s="8"/>
    </row>
    <row r="65" spans="3:14" ht="13.5" customHeight="1" x14ac:dyDescent="0.4">
      <c r="C65" s="8"/>
      <c r="D65" s="8"/>
      <c r="E65" s="13"/>
      <c r="F65" s="13"/>
      <c r="G65" s="13"/>
      <c r="H65" s="13"/>
      <c r="I65" s="13"/>
      <c r="J65" s="13"/>
      <c r="K65" s="13"/>
      <c r="L65" s="13"/>
      <c r="M65" s="15"/>
      <c r="N65" s="8"/>
    </row>
    <row r="66" spans="3:14" ht="13.5" customHeight="1" x14ac:dyDescent="0.4">
      <c r="C66" s="8"/>
      <c r="D66" s="8"/>
      <c r="E66" s="13"/>
      <c r="F66" s="13"/>
      <c r="G66" s="13"/>
      <c r="H66" s="13"/>
      <c r="I66" s="13"/>
      <c r="J66" s="13"/>
      <c r="K66" s="13"/>
      <c r="L66" s="13"/>
      <c r="M66" s="15"/>
      <c r="N66" s="8"/>
    </row>
    <row r="67" spans="3:14" ht="13.5" customHeight="1" x14ac:dyDescent="0.4">
      <c r="C67" s="237" t="s">
        <v>13</v>
      </c>
      <c r="D67" s="235"/>
      <c r="E67" s="235"/>
      <c r="F67" s="235"/>
      <c r="G67" s="237" t="s">
        <v>82</v>
      </c>
      <c r="H67" s="235"/>
      <c r="I67" s="237" t="s">
        <v>289</v>
      </c>
      <c r="J67" s="237"/>
      <c r="K67" s="235"/>
      <c r="L67" s="235"/>
      <c r="M67" s="235" t="s">
        <v>261</v>
      </c>
      <c r="N67" s="8"/>
    </row>
    <row r="68" spans="3:14" ht="13.5" customHeight="1" x14ac:dyDescent="0.4"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</row>
    <row r="69" spans="3:14" ht="20.149999999999999" customHeight="1" x14ac:dyDescent="0.4">
      <c r="C69" s="234" t="s">
        <v>290</v>
      </c>
      <c r="D69" s="235"/>
      <c r="E69" s="235"/>
      <c r="F69" s="235"/>
      <c r="G69" s="234" t="s">
        <v>14</v>
      </c>
      <c r="H69" s="235"/>
      <c r="I69" s="234" t="s">
        <v>17</v>
      </c>
      <c r="J69" s="234"/>
      <c r="K69" s="235"/>
      <c r="L69" s="235"/>
      <c r="M69" s="234" t="s">
        <v>8</v>
      </c>
      <c r="N69" s="8"/>
    </row>
    <row r="70" spans="3:14" ht="13.5" customHeight="1" x14ac:dyDescent="0.4">
      <c r="C70" s="19" t="s">
        <v>317</v>
      </c>
      <c r="D70" s="8"/>
      <c r="E70" s="8"/>
      <c r="F70" s="8"/>
      <c r="G70" s="19" t="s">
        <v>15</v>
      </c>
      <c r="H70" s="8"/>
      <c r="I70" s="19" t="s">
        <v>292</v>
      </c>
      <c r="J70" s="19"/>
      <c r="K70" s="8"/>
      <c r="L70" s="8"/>
      <c r="M70" s="19" t="s">
        <v>262</v>
      </c>
      <c r="N70" s="8"/>
    </row>
    <row r="71" spans="3:14" ht="13.5" customHeight="1" x14ac:dyDescent="0.4"/>
    <row r="72" spans="3:14" ht="13.5" customHeight="1" x14ac:dyDescent="0.4"/>
    <row r="73" spans="3:14" ht="13.5" customHeight="1" x14ac:dyDescent="0.4"/>
    <row r="74" spans="3:14" ht="13.5" customHeight="1" x14ac:dyDescent="0.4"/>
    <row r="75" spans="3:14" ht="13.5" customHeight="1" x14ac:dyDescent="0.4"/>
    <row r="76" spans="3:14" ht="13.5" customHeight="1" x14ac:dyDescent="0.4"/>
  </sheetData>
  <mergeCells count="20">
    <mergeCell ref="C14:E14"/>
    <mergeCell ref="C16:E16"/>
    <mergeCell ref="C27:I27"/>
    <mergeCell ref="E29:H29"/>
    <mergeCell ref="G40:I40"/>
    <mergeCell ref="C4:N4"/>
    <mergeCell ref="C5:M5"/>
    <mergeCell ref="C6:M6"/>
    <mergeCell ref="C7:M7"/>
    <mergeCell ref="C8:M8"/>
    <mergeCell ref="P54:Q54"/>
    <mergeCell ref="C59:H59"/>
    <mergeCell ref="C60:H60"/>
    <mergeCell ref="C62:H63"/>
    <mergeCell ref="L62:L63"/>
    <mergeCell ref="M62:M63"/>
    <mergeCell ref="C61:H61"/>
    <mergeCell ref="C57:H58"/>
    <mergeCell ref="L57:L58"/>
    <mergeCell ref="M57:M58"/>
  </mergeCells>
  <pageMargins left="0" right="0" top="0.15748031496062992" bottom="0.35433070866141736" header="0.31496062992125984" footer="0.31496062992125984"/>
  <pageSetup paperSize="9" scale="70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4552A6-2BD4-43BC-A0C2-DB240E6E8CDA}">
  <dimension ref="B2:M70"/>
  <sheetViews>
    <sheetView topLeftCell="A16" workbookViewId="0">
      <selection sqref="A1:XFD1048576"/>
    </sheetView>
  </sheetViews>
  <sheetFormatPr defaultRowHeight="14.6" x14ac:dyDescent="0.4"/>
  <cols>
    <col min="1" max="1" width="2.3046875" customWidth="1"/>
    <col min="2" max="2" width="13.3046875" customWidth="1"/>
    <col min="3" max="3" width="4.84375" customWidth="1"/>
    <col min="4" max="4" width="12.3046875" customWidth="1"/>
    <col min="5" max="5" width="1.53515625" customWidth="1"/>
    <col min="6" max="6" width="22" customWidth="1"/>
    <col min="7" max="7" width="22.3046875" customWidth="1"/>
    <col min="8" max="8" width="23.3046875" hidden="1" customWidth="1"/>
    <col min="9" max="9" width="11.84375" customWidth="1"/>
    <col min="10" max="10" width="13.69140625" customWidth="1"/>
    <col min="11" max="11" width="12.3046875" customWidth="1"/>
    <col min="12" max="12" width="13.69140625" customWidth="1"/>
    <col min="13" max="13" width="11.53515625" customWidth="1"/>
  </cols>
  <sheetData>
    <row r="2" spans="2:12" x14ac:dyDescent="0.4">
      <c r="B2" s="246" t="s">
        <v>329</v>
      </c>
    </row>
    <row r="3" spans="2:12" x14ac:dyDescent="0.4">
      <c r="B3" s="246"/>
    </row>
    <row r="4" spans="2:12" x14ac:dyDescent="0.4">
      <c r="B4" s="246"/>
    </row>
    <row r="5" spans="2:12" x14ac:dyDescent="0.4">
      <c r="B5" s="246"/>
    </row>
    <row r="6" spans="2:12" x14ac:dyDescent="0.4">
      <c r="B6" s="246"/>
    </row>
    <row r="7" spans="2:12" ht="14.15" customHeight="1" x14ac:dyDescent="0.4">
      <c r="B7" s="468" t="s">
        <v>0</v>
      </c>
      <c r="C7" s="468"/>
      <c r="D7" s="468"/>
      <c r="E7" s="468"/>
      <c r="F7" s="468"/>
      <c r="G7" s="468"/>
      <c r="H7" s="468"/>
      <c r="I7" s="468"/>
      <c r="J7" s="468"/>
      <c r="K7" s="468"/>
      <c r="L7" s="468"/>
    </row>
    <row r="8" spans="2:12" ht="14.15" customHeight="1" x14ac:dyDescent="0.4">
      <c r="B8" s="19"/>
      <c r="C8" s="19"/>
      <c r="D8" s="19"/>
      <c r="E8" s="19"/>
      <c r="F8" s="19"/>
      <c r="G8" s="19" t="s">
        <v>18</v>
      </c>
      <c r="H8" s="19"/>
      <c r="I8" s="19"/>
      <c r="J8" s="19"/>
      <c r="K8" s="19"/>
      <c r="L8" s="1"/>
    </row>
    <row r="9" spans="2:12" ht="14.15" customHeight="1" x14ac:dyDescent="0.4">
      <c r="B9" s="8"/>
      <c r="C9" s="8"/>
      <c r="D9" s="8"/>
      <c r="E9" s="8"/>
      <c r="F9" s="473" t="s">
        <v>401</v>
      </c>
      <c r="G9" s="473"/>
      <c r="H9" s="473"/>
      <c r="I9" s="473"/>
      <c r="J9" s="473"/>
      <c r="K9" s="8"/>
    </row>
    <row r="10" spans="2:12" ht="14.15" customHeight="1" thickBot="1" x14ac:dyDescent="0.45">
      <c r="B10" s="8"/>
      <c r="C10" s="8"/>
      <c r="D10" s="8"/>
      <c r="E10" s="8"/>
      <c r="F10" s="8"/>
      <c r="G10" s="8"/>
      <c r="H10" s="8"/>
      <c r="I10" s="8"/>
      <c r="J10" s="8"/>
      <c r="K10" s="8"/>
    </row>
    <row r="11" spans="2:12" ht="21.75" customHeight="1" x14ac:dyDescent="0.4">
      <c r="B11" s="145"/>
      <c r="C11" s="146"/>
      <c r="D11" s="147"/>
      <c r="E11" s="146"/>
      <c r="F11" s="168"/>
      <c r="G11" s="464" t="s">
        <v>304</v>
      </c>
      <c r="H11" s="464" t="s">
        <v>299</v>
      </c>
      <c r="I11" s="464" t="s">
        <v>293</v>
      </c>
      <c r="J11" s="472" t="s">
        <v>301</v>
      </c>
      <c r="K11" s="472"/>
      <c r="L11" s="464" t="s">
        <v>296</v>
      </c>
    </row>
    <row r="12" spans="2:12" ht="30" customHeight="1" thickBot="1" x14ac:dyDescent="0.45">
      <c r="B12" s="148" t="s">
        <v>5</v>
      </c>
      <c r="C12" s="149"/>
      <c r="D12" s="150" t="s">
        <v>309</v>
      </c>
      <c r="E12" s="149"/>
      <c r="F12" s="169" t="s">
        <v>1</v>
      </c>
      <c r="G12" s="465"/>
      <c r="H12" s="465"/>
      <c r="I12" s="465"/>
      <c r="J12" s="156" t="s">
        <v>302</v>
      </c>
      <c r="K12" s="144" t="s">
        <v>303</v>
      </c>
      <c r="L12" s="465"/>
    </row>
    <row r="13" spans="2:12" ht="16.2" customHeight="1" x14ac:dyDescent="0.4">
      <c r="B13" s="137" t="s">
        <v>57</v>
      </c>
      <c r="C13" s="19"/>
      <c r="D13" s="155"/>
      <c r="E13" s="19"/>
      <c r="F13" s="170"/>
      <c r="G13" s="110"/>
      <c r="H13" s="110"/>
      <c r="I13" s="157"/>
      <c r="J13" s="178"/>
      <c r="K13" s="183"/>
      <c r="L13" s="186"/>
    </row>
    <row r="14" spans="2:12" ht="16.2" customHeight="1" x14ac:dyDescent="0.4">
      <c r="B14" s="138" t="s">
        <v>21</v>
      </c>
      <c r="C14" s="139" t="s">
        <v>245</v>
      </c>
      <c r="D14" s="140">
        <v>2649</v>
      </c>
      <c r="E14" s="141"/>
      <c r="F14" s="171" t="s">
        <v>129</v>
      </c>
      <c r="G14" s="158">
        <v>50</v>
      </c>
      <c r="H14" s="158"/>
      <c r="I14" s="140"/>
      <c r="J14" s="114"/>
      <c r="K14" s="184"/>
      <c r="L14" s="163"/>
    </row>
    <row r="15" spans="2:12" ht="16.2" customHeight="1" x14ac:dyDescent="0.4">
      <c r="B15" s="138" t="s">
        <v>21</v>
      </c>
      <c r="C15" s="141"/>
      <c r="D15" s="140">
        <v>2650</v>
      </c>
      <c r="E15" s="141"/>
      <c r="F15" s="172" t="s">
        <v>402</v>
      </c>
      <c r="G15" s="158">
        <v>100</v>
      </c>
      <c r="H15" s="158"/>
      <c r="I15" s="140"/>
      <c r="J15" s="114"/>
      <c r="K15" s="184"/>
      <c r="L15" s="163"/>
    </row>
    <row r="16" spans="2:12" ht="16.2" customHeight="1" x14ac:dyDescent="0.4">
      <c r="B16" s="138" t="s">
        <v>21</v>
      </c>
      <c r="C16" s="141"/>
      <c r="D16" s="140">
        <v>2651</v>
      </c>
      <c r="E16" s="141"/>
      <c r="F16" s="172" t="s">
        <v>348</v>
      </c>
      <c r="G16" s="158">
        <v>100</v>
      </c>
      <c r="H16" s="159"/>
      <c r="I16" s="160" t="s">
        <v>245</v>
      </c>
      <c r="J16" s="114" t="s">
        <v>245</v>
      </c>
      <c r="K16" s="185" t="s">
        <v>245</v>
      </c>
      <c r="L16" s="167" t="s">
        <v>245</v>
      </c>
    </row>
    <row r="17" spans="2:12" ht="16.2" customHeight="1" x14ac:dyDescent="0.4">
      <c r="B17" s="138" t="s">
        <v>21</v>
      </c>
      <c r="C17" s="141"/>
      <c r="D17" s="140">
        <v>2652</v>
      </c>
      <c r="E17" s="141"/>
      <c r="F17" s="172" t="s">
        <v>349</v>
      </c>
      <c r="G17" s="158">
        <v>100</v>
      </c>
      <c r="H17" s="159"/>
      <c r="I17" s="160"/>
      <c r="J17" s="114"/>
      <c r="K17" s="185"/>
      <c r="L17" s="167"/>
    </row>
    <row r="18" spans="2:12" ht="16.2" customHeight="1" x14ac:dyDescent="0.4">
      <c r="B18" s="138" t="s">
        <v>21</v>
      </c>
      <c r="C18" s="141"/>
      <c r="D18" s="140">
        <v>2653</v>
      </c>
      <c r="E18" s="141"/>
      <c r="F18" s="172" t="s">
        <v>403</v>
      </c>
      <c r="G18" s="158">
        <v>100</v>
      </c>
      <c r="H18" s="159"/>
      <c r="I18" s="160"/>
      <c r="J18" s="114"/>
      <c r="K18" s="185"/>
      <c r="L18" s="167"/>
    </row>
    <row r="19" spans="2:12" ht="16.2" customHeight="1" x14ac:dyDescent="0.4">
      <c r="B19" s="138" t="s">
        <v>21</v>
      </c>
      <c r="C19" s="141"/>
      <c r="D19" s="140">
        <v>2654</v>
      </c>
      <c r="E19" s="141"/>
      <c r="F19" s="172" t="s">
        <v>232</v>
      </c>
      <c r="G19" s="158">
        <v>100</v>
      </c>
      <c r="H19" s="159"/>
      <c r="I19" s="160"/>
      <c r="J19" s="114"/>
      <c r="K19" s="185"/>
      <c r="L19" s="167"/>
    </row>
    <row r="20" spans="2:12" ht="16.2" customHeight="1" x14ac:dyDescent="0.4">
      <c r="B20" s="138" t="s">
        <v>21</v>
      </c>
      <c r="C20" s="141"/>
      <c r="D20" s="140">
        <v>2655</v>
      </c>
      <c r="E20" s="141"/>
      <c r="F20" s="172" t="s">
        <v>179</v>
      </c>
      <c r="G20" s="158">
        <v>100</v>
      </c>
      <c r="H20" s="159"/>
      <c r="I20" s="160"/>
      <c r="J20" s="114"/>
      <c r="K20" s="185"/>
      <c r="L20" s="167"/>
    </row>
    <row r="21" spans="2:12" ht="16.2" customHeight="1" x14ac:dyDescent="0.4">
      <c r="B21" s="138" t="s">
        <v>21</v>
      </c>
      <c r="C21" s="141"/>
      <c r="D21" s="140">
        <v>2656</v>
      </c>
      <c r="E21" s="141"/>
      <c r="F21" s="172" t="s">
        <v>179</v>
      </c>
      <c r="G21" s="158">
        <v>100</v>
      </c>
      <c r="H21" s="159"/>
      <c r="I21" s="160"/>
      <c r="J21" s="114"/>
      <c r="K21" s="185"/>
      <c r="L21" s="167"/>
    </row>
    <row r="22" spans="2:12" ht="16.2" customHeight="1" x14ac:dyDescent="0.4">
      <c r="B22" s="138" t="s">
        <v>21</v>
      </c>
      <c r="C22" s="141"/>
      <c r="D22" s="140">
        <v>2657</v>
      </c>
      <c r="E22" s="141"/>
      <c r="F22" s="172" t="s">
        <v>41</v>
      </c>
      <c r="G22" s="158">
        <v>100</v>
      </c>
      <c r="H22" s="159"/>
      <c r="I22" s="160"/>
      <c r="J22" s="114"/>
      <c r="K22" s="185"/>
      <c r="L22" s="167"/>
    </row>
    <row r="23" spans="2:12" ht="18" customHeight="1" x14ac:dyDescent="0.4">
      <c r="B23" s="154" t="s">
        <v>307</v>
      </c>
      <c r="D23" s="111"/>
      <c r="F23" s="109"/>
      <c r="G23" s="161">
        <f>SUM(G14:G22)</f>
        <v>850</v>
      </c>
      <c r="H23" s="161"/>
      <c r="I23" s="162">
        <f>G23-J23</f>
        <v>50</v>
      </c>
      <c r="J23" s="114">
        <v>800</v>
      </c>
      <c r="K23" s="185">
        <v>200</v>
      </c>
      <c r="L23" s="198">
        <f>J23+K23</f>
        <v>1000</v>
      </c>
    </row>
    <row r="24" spans="2:12" ht="16.2" customHeight="1" x14ac:dyDescent="0.4">
      <c r="B24" s="138">
        <v>12</v>
      </c>
      <c r="C24" s="141"/>
      <c r="D24" s="140">
        <v>2658</v>
      </c>
      <c r="E24" s="141"/>
      <c r="F24" s="172" t="s">
        <v>17</v>
      </c>
      <c r="G24" s="158">
        <v>500</v>
      </c>
      <c r="H24" s="159"/>
      <c r="I24" s="140"/>
      <c r="J24" s="114"/>
      <c r="K24" s="185"/>
      <c r="L24" s="166" t="s">
        <v>245</v>
      </c>
    </row>
    <row r="25" spans="2:12" ht="16.2" customHeight="1" x14ac:dyDescent="0.4">
      <c r="B25" s="138">
        <v>12</v>
      </c>
      <c r="C25" s="141"/>
      <c r="D25" s="140">
        <v>2659</v>
      </c>
      <c r="E25" s="141"/>
      <c r="F25" s="172" t="s">
        <v>408</v>
      </c>
      <c r="G25" s="158">
        <v>50</v>
      </c>
      <c r="H25" s="159"/>
      <c r="I25" s="140"/>
      <c r="J25" s="114"/>
      <c r="K25" s="185"/>
      <c r="L25" s="166"/>
    </row>
    <row r="26" spans="2:12" ht="16.2" customHeight="1" x14ac:dyDescent="0.4">
      <c r="B26" s="138">
        <v>12</v>
      </c>
      <c r="C26" s="141"/>
      <c r="D26" s="140">
        <v>2660</v>
      </c>
      <c r="E26" s="141"/>
      <c r="F26" s="172" t="s">
        <v>232</v>
      </c>
      <c r="G26" s="158">
        <v>150</v>
      </c>
      <c r="H26" s="159"/>
      <c r="I26" s="140"/>
      <c r="J26" s="114"/>
      <c r="K26" s="185"/>
      <c r="L26" s="166"/>
    </row>
    <row r="27" spans="2:12" ht="16.2" customHeight="1" x14ac:dyDescent="0.4">
      <c r="B27" s="138">
        <v>12</v>
      </c>
      <c r="C27" s="141"/>
      <c r="D27" s="140">
        <v>2661</v>
      </c>
      <c r="E27" s="141"/>
      <c r="F27" s="172" t="s">
        <v>33</v>
      </c>
      <c r="G27" s="158">
        <v>100</v>
      </c>
      <c r="H27" s="159"/>
      <c r="I27" s="140"/>
      <c r="J27" s="114"/>
      <c r="K27" s="185"/>
      <c r="L27" s="166"/>
    </row>
    <row r="28" spans="2:12" ht="16.2" customHeight="1" x14ac:dyDescent="0.4">
      <c r="B28" s="138">
        <v>12</v>
      </c>
      <c r="C28" s="141"/>
      <c r="D28" s="140">
        <v>2662</v>
      </c>
      <c r="E28" s="141"/>
      <c r="F28" s="172" t="s">
        <v>409</v>
      </c>
      <c r="G28" s="158">
        <v>100</v>
      </c>
      <c r="H28" s="159"/>
      <c r="I28" s="140"/>
      <c r="J28" s="114"/>
      <c r="K28" s="185"/>
      <c r="L28" s="166"/>
    </row>
    <row r="29" spans="2:12" ht="16.2" customHeight="1" x14ac:dyDescent="0.4">
      <c r="B29" s="138">
        <v>12</v>
      </c>
      <c r="C29" s="141"/>
      <c r="D29" s="140">
        <v>2663</v>
      </c>
      <c r="E29" s="141"/>
      <c r="F29" s="172" t="s">
        <v>345</v>
      </c>
      <c r="G29" s="158">
        <v>100</v>
      </c>
      <c r="H29" s="159"/>
      <c r="I29" s="140"/>
      <c r="J29" s="114"/>
      <c r="K29" s="185"/>
      <c r="L29" s="166"/>
    </row>
    <row r="30" spans="2:12" ht="16.2" customHeight="1" x14ac:dyDescent="0.4">
      <c r="B30" s="138">
        <v>12</v>
      </c>
      <c r="C30" s="141"/>
      <c r="D30" s="140">
        <v>2664</v>
      </c>
      <c r="E30" s="141"/>
      <c r="F30" s="172" t="s">
        <v>402</v>
      </c>
      <c r="G30" s="158">
        <v>100</v>
      </c>
      <c r="H30" s="159"/>
      <c r="I30" s="140"/>
      <c r="J30" s="114"/>
      <c r="K30" s="185"/>
      <c r="L30" s="166"/>
    </row>
    <row r="31" spans="2:12" ht="16.2" customHeight="1" x14ac:dyDescent="0.4">
      <c r="B31" s="138">
        <v>12</v>
      </c>
      <c r="C31" s="141"/>
      <c r="D31" s="140">
        <v>2665</v>
      </c>
      <c r="E31" s="141"/>
      <c r="F31" s="172" t="s">
        <v>410</v>
      </c>
      <c r="G31" s="158">
        <v>100</v>
      </c>
      <c r="H31" s="159"/>
      <c r="I31" s="140"/>
      <c r="J31" s="114"/>
      <c r="K31" s="185"/>
      <c r="L31" s="166"/>
    </row>
    <row r="32" spans="2:12" ht="16.2" customHeight="1" x14ac:dyDescent="0.4">
      <c r="B32" s="138">
        <v>12</v>
      </c>
      <c r="C32" s="141"/>
      <c r="D32" s="140">
        <v>2666</v>
      </c>
      <c r="E32" s="141"/>
      <c r="F32" s="172" t="s">
        <v>41</v>
      </c>
      <c r="G32" s="158">
        <v>100</v>
      </c>
      <c r="H32" s="159"/>
      <c r="I32" s="140"/>
      <c r="J32" s="114"/>
      <c r="K32" s="185"/>
      <c r="L32" s="166"/>
    </row>
    <row r="33" spans="2:13" ht="16.2" customHeight="1" x14ac:dyDescent="0.4">
      <c r="B33" s="138">
        <v>12</v>
      </c>
      <c r="C33" s="141"/>
      <c r="D33" s="140">
        <v>2667</v>
      </c>
      <c r="E33" s="141"/>
      <c r="F33" s="172" t="s">
        <v>20</v>
      </c>
      <c r="G33" s="158">
        <v>100</v>
      </c>
      <c r="H33" s="159"/>
      <c r="I33" s="140"/>
      <c r="J33" s="114"/>
      <c r="K33" s="185"/>
      <c r="L33" s="166"/>
    </row>
    <row r="34" spans="2:13" ht="16.2" customHeight="1" x14ac:dyDescent="0.4">
      <c r="B34" s="138">
        <v>12</v>
      </c>
      <c r="C34" s="141"/>
      <c r="D34" s="140">
        <v>2668</v>
      </c>
      <c r="E34" s="141"/>
      <c r="F34" s="172" t="s">
        <v>411</v>
      </c>
      <c r="G34" s="158">
        <v>150</v>
      </c>
      <c r="H34" s="159"/>
      <c r="I34" s="140"/>
      <c r="J34" s="114"/>
      <c r="K34" s="185"/>
      <c r="L34" s="166"/>
    </row>
    <row r="35" spans="2:13" ht="16.2" customHeight="1" x14ac:dyDescent="0.4">
      <c r="B35" s="154" t="s">
        <v>307</v>
      </c>
      <c r="C35" s="141"/>
      <c r="D35" s="140"/>
      <c r="E35" s="141"/>
      <c r="F35" s="172"/>
      <c r="G35" s="289">
        <f>SUM(G24:G34)</f>
        <v>1550</v>
      </c>
      <c r="H35" s="159"/>
      <c r="I35" s="162">
        <f>G35-J35</f>
        <v>550</v>
      </c>
      <c r="J35" s="114">
        <v>1000</v>
      </c>
      <c r="K35" s="185">
        <v>0</v>
      </c>
      <c r="L35" s="198">
        <f>J35+K35</f>
        <v>1000</v>
      </c>
    </row>
    <row r="36" spans="2:13" ht="16.2" customHeight="1" x14ac:dyDescent="0.4">
      <c r="B36" s="138">
        <v>19</v>
      </c>
      <c r="C36" s="141"/>
      <c r="D36" s="140">
        <v>2669</v>
      </c>
      <c r="E36" s="141"/>
      <c r="F36" s="172" t="s">
        <v>412</v>
      </c>
      <c r="G36" s="158">
        <v>100</v>
      </c>
      <c r="H36" s="159"/>
      <c r="I36" s="140"/>
      <c r="J36" s="114"/>
      <c r="K36" s="185"/>
      <c r="L36" s="166"/>
    </row>
    <row r="37" spans="2:13" ht="16.2" customHeight="1" x14ac:dyDescent="0.4">
      <c r="B37" s="138">
        <v>19</v>
      </c>
      <c r="C37" s="141"/>
      <c r="D37" s="140">
        <v>2670</v>
      </c>
      <c r="E37" s="141"/>
      <c r="F37" s="172" t="s">
        <v>232</v>
      </c>
      <c r="G37" s="158">
        <v>100</v>
      </c>
      <c r="H37" s="159"/>
      <c r="I37" s="140"/>
      <c r="J37" s="114"/>
      <c r="K37" s="185"/>
      <c r="L37" s="166"/>
    </row>
    <row r="38" spans="2:13" ht="16.2" customHeight="1" x14ac:dyDescent="0.4">
      <c r="B38" s="138">
        <v>19</v>
      </c>
      <c r="C38" s="141"/>
      <c r="D38" s="140">
        <v>2671</v>
      </c>
      <c r="E38" s="141"/>
      <c r="F38" s="172" t="s">
        <v>403</v>
      </c>
      <c r="G38" s="158">
        <v>100</v>
      </c>
      <c r="H38" s="159"/>
      <c r="I38" s="140"/>
      <c r="J38" s="114"/>
      <c r="K38" s="185"/>
      <c r="L38" s="166"/>
    </row>
    <row r="39" spans="2:13" ht="16.2" customHeight="1" x14ac:dyDescent="0.4">
      <c r="B39" s="138">
        <v>19</v>
      </c>
      <c r="C39" s="141"/>
      <c r="D39" s="140">
        <v>2672</v>
      </c>
      <c r="E39" s="141"/>
      <c r="F39" s="172" t="s">
        <v>238</v>
      </c>
      <c r="G39" s="158">
        <v>100</v>
      </c>
      <c r="H39" s="159"/>
      <c r="I39" s="140"/>
      <c r="J39" s="114"/>
      <c r="K39" s="185"/>
      <c r="L39" s="166"/>
    </row>
    <row r="40" spans="2:13" ht="16.2" customHeight="1" x14ac:dyDescent="0.4">
      <c r="B40" s="138">
        <v>19</v>
      </c>
      <c r="C40" s="141"/>
      <c r="D40" s="140">
        <v>2673</v>
      </c>
      <c r="E40" s="141"/>
      <c r="F40" s="172" t="s">
        <v>413</v>
      </c>
      <c r="G40" s="158">
        <v>100</v>
      </c>
      <c r="H40" s="159"/>
      <c r="I40" s="140"/>
      <c r="J40" s="114"/>
      <c r="K40" s="185"/>
      <c r="L40" s="166"/>
    </row>
    <row r="41" spans="2:13" ht="18" customHeight="1" x14ac:dyDescent="0.45">
      <c r="B41" s="154" t="s">
        <v>307</v>
      </c>
      <c r="D41" s="111"/>
      <c r="F41" s="298"/>
      <c r="G41" s="161">
        <f>SUM(G36:G40)</f>
        <v>500</v>
      </c>
      <c r="H41" s="161"/>
      <c r="I41" s="162">
        <f>G41-J41</f>
        <v>0</v>
      </c>
      <c r="J41" s="142">
        <v>500</v>
      </c>
      <c r="K41" s="185">
        <v>500</v>
      </c>
      <c r="L41" s="198">
        <f>J41+K41</f>
        <v>1000</v>
      </c>
      <c r="M41" s="135"/>
    </row>
    <row r="42" spans="2:13" ht="16.2" customHeight="1" x14ac:dyDescent="0.4">
      <c r="B42" s="138">
        <v>26</v>
      </c>
      <c r="C42" s="141"/>
      <c r="D42" s="140">
        <v>2674</v>
      </c>
      <c r="E42" s="141"/>
      <c r="F42" s="172" t="s">
        <v>349</v>
      </c>
      <c r="G42" s="275">
        <v>100</v>
      </c>
      <c r="H42" s="159"/>
      <c r="I42" s="140"/>
      <c r="J42" s="179"/>
      <c r="K42" s="185"/>
      <c r="L42" s="199"/>
    </row>
    <row r="43" spans="2:13" ht="16.2" customHeight="1" x14ac:dyDescent="0.4">
      <c r="B43" s="138">
        <v>26</v>
      </c>
      <c r="C43" s="141"/>
      <c r="D43" s="140">
        <v>2675</v>
      </c>
      <c r="E43" s="141"/>
      <c r="F43" s="172" t="s">
        <v>33</v>
      </c>
      <c r="G43" s="275">
        <v>100</v>
      </c>
      <c r="H43" s="159"/>
      <c r="I43" s="140"/>
      <c r="J43" s="179"/>
      <c r="K43" s="185"/>
      <c r="L43" s="199"/>
    </row>
    <row r="44" spans="2:13" ht="16.2" customHeight="1" x14ac:dyDescent="0.4">
      <c r="B44" s="138">
        <v>26</v>
      </c>
      <c r="C44" s="141"/>
      <c r="D44" s="140">
        <v>2676</v>
      </c>
      <c r="E44" s="141"/>
      <c r="F44" s="172" t="s">
        <v>238</v>
      </c>
      <c r="G44" s="275">
        <v>100</v>
      </c>
      <c r="H44" s="159"/>
      <c r="I44" s="140"/>
      <c r="J44" s="179"/>
      <c r="K44" s="185"/>
      <c r="L44" s="199"/>
    </row>
    <row r="45" spans="2:13" ht="16.2" customHeight="1" x14ac:dyDescent="0.4">
      <c r="B45" s="138">
        <v>26</v>
      </c>
      <c r="C45" s="141"/>
      <c r="D45" s="140">
        <v>2677</v>
      </c>
      <c r="E45" s="141"/>
      <c r="F45" s="172" t="s">
        <v>41</v>
      </c>
      <c r="G45" s="275">
        <v>100</v>
      </c>
      <c r="H45" s="159"/>
      <c r="I45" s="140"/>
      <c r="J45" s="142"/>
      <c r="K45" s="185"/>
      <c r="L45" s="199"/>
    </row>
    <row r="46" spans="2:13" ht="16.2" customHeight="1" x14ac:dyDescent="0.4">
      <c r="B46" s="138">
        <v>26</v>
      </c>
      <c r="C46" s="141"/>
      <c r="D46" s="140">
        <v>2678</v>
      </c>
      <c r="E46" s="141"/>
      <c r="F46" s="172" t="s">
        <v>201</v>
      </c>
      <c r="G46" s="275">
        <v>100</v>
      </c>
      <c r="H46" s="159"/>
      <c r="I46" s="140"/>
      <c r="J46" s="142"/>
      <c r="K46" s="185"/>
      <c r="L46" s="199"/>
    </row>
    <row r="47" spans="2:13" ht="16.2" customHeight="1" x14ac:dyDescent="0.4">
      <c r="B47" s="138">
        <v>26</v>
      </c>
      <c r="C47" s="141"/>
      <c r="D47" s="140">
        <v>2679</v>
      </c>
      <c r="E47" s="141"/>
      <c r="F47" s="172" t="s">
        <v>414</v>
      </c>
      <c r="G47" s="275">
        <v>100</v>
      </c>
      <c r="H47" s="159"/>
      <c r="I47" s="140" t="s">
        <v>245</v>
      </c>
      <c r="J47" s="179"/>
      <c r="K47" s="185"/>
      <c r="L47" s="199"/>
    </row>
    <row r="48" spans="2:13" ht="18" customHeight="1" thickBot="1" x14ac:dyDescent="0.45">
      <c r="B48" s="154" t="s">
        <v>307</v>
      </c>
      <c r="D48" s="111"/>
      <c r="F48" s="109"/>
      <c r="G48" s="166">
        <f>SUM(G42:G47)</f>
        <v>600</v>
      </c>
      <c r="H48" s="166"/>
      <c r="I48" s="162">
        <f>G48-J48</f>
        <v>0</v>
      </c>
      <c r="J48" s="180">
        <v>600</v>
      </c>
      <c r="K48" s="181">
        <v>400</v>
      </c>
      <c r="L48" s="198">
        <f>J48+K48</f>
        <v>1000</v>
      </c>
    </row>
    <row r="49" spans="2:12" ht="22.2" customHeight="1" thickBot="1" x14ac:dyDescent="0.45">
      <c r="B49" s="194" t="s">
        <v>297</v>
      </c>
      <c r="C49" s="195"/>
      <c r="D49" s="196"/>
      <c r="E49" s="197"/>
      <c r="F49" s="195"/>
      <c r="G49" s="200">
        <f>G23+G35+G41+G48</f>
        <v>3500</v>
      </c>
      <c r="H49" s="200"/>
      <c r="I49" s="200">
        <f>I23+I41+I35+I48</f>
        <v>600</v>
      </c>
      <c r="J49" s="200">
        <f>J23+J35+J41+J48</f>
        <v>2900</v>
      </c>
      <c r="K49" s="200">
        <f>K23+K35+K41+K48</f>
        <v>1100</v>
      </c>
      <c r="L49" s="200">
        <f>L23+L35+L41+L48</f>
        <v>4000</v>
      </c>
    </row>
    <row r="50" spans="2:12" ht="16.2" customHeight="1" x14ac:dyDescent="0.4">
      <c r="B50" s="9"/>
      <c r="C50" s="8"/>
      <c r="D50" s="19"/>
      <c r="E50" s="19"/>
      <c r="F50" s="8"/>
      <c r="G50" s="10"/>
      <c r="H50" s="10"/>
      <c r="I50" s="14" t="s">
        <v>245</v>
      </c>
      <c r="J50" s="14" t="s">
        <v>245</v>
      </c>
      <c r="K50" s="12"/>
      <c r="L50" s="15" t="s">
        <v>245</v>
      </c>
    </row>
    <row r="51" spans="2:12" ht="16.2" customHeight="1" x14ac:dyDescent="0.4">
      <c r="B51" s="9"/>
      <c r="C51" s="8"/>
      <c r="D51" s="19"/>
      <c r="E51" s="19"/>
      <c r="F51" s="8"/>
      <c r="G51" s="10"/>
      <c r="H51" s="10"/>
      <c r="I51" s="14" t="s">
        <v>245</v>
      </c>
      <c r="J51" s="14"/>
      <c r="K51" s="12"/>
      <c r="L51" s="15"/>
    </row>
    <row r="52" spans="2:12" ht="14.15" customHeight="1" x14ac:dyDescent="0.4">
      <c r="B52" s="9"/>
      <c r="C52" s="8"/>
      <c r="D52" s="19"/>
      <c r="E52" s="19"/>
      <c r="F52" s="8"/>
      <c r="G52" s="10"/>
      <c r="H52" s="10"/>
      <c r="I52" s="14"/>
      <c r="J52" s="14"/>
      <c r="K52" s="12"/>
      <c r="L52" s="15"/>
    </row>
    <row r="53" spans="2:12" ht="14.15" customHeight="1" x14ac:dyDescent="0.4">
      <c r="B53" s="8"/>
      <c r="C53" s="8"/>
      <c r="D53" s="8" t="s">
        <v>245</v>
      </c>
      <c r="E53" s="8"/>
      <c r="F53" s="8"/>
      <c r="G53" s="8"/>
      <c r="H53" s="8"/>
      <c r="I53" s="8"/>
      <c r="J53" s="8"/>
      <c r="K53" s="8"/>
    </row>
    <row r="54" spans="2:12" ht="14.15" customHeight="1" x14ac:dyDescent="0.4">
      <c r="B54" s="8"/>
      <c r="C54" s="8"/>
      <c r="D54" s="19" t="s">
        <v>245</v>
      </c>
      <c r="E54" s="8"/>
      <c r="F54" s="19" t="s">
        <v>245</v>
      </c>
      <c r="G54" s="8"/>
      <c r="H54" s="8"/>
      <c r="I54" s="8"/>
      <c r="J54" s="8"/>
      <c r="K54" s="8"/>
    </row>
    <row r="55" spans="2:12" ht="14.15" customHeight="1" x14ac:dyDescent="0.4">
      <c r="B55" s="8"/>
      <c r="C55" s="8"/>
      <c r="D55" s="8"/>
      <c r="E55" s="8"/>
      <c r="F55" s="19"/>
      <c r="G55" s="8"/>
      <c r="H55" s="8"/>
      <c r="I55" s="8"/>
      <c r="J55" s="8"/>
      <c r="K55" s="8"/>
    </row>
    <row r="56" spans="2:12" ht="14.15" customHeight="1" x14ac:dyDescent="0.4">
      <c r="B56" s="8"/>
      <c r="C56" s="8"/>
      <c r="D56" s="8"/>
      <c r="E56" s="8"/>
      <c r="F56" s="19"/>
      <c r="G56" s="8"/>
      <c r="H56" s="8"/>
      <c r="I56" s="8"/>
      <c r="J56" s="8"/>
      <c r="K56" s="8"/>
    </row>
    <row r="57" spans="2:12" ht="14.15" customHeight="1" x14ac:dyDescent="0.4">
      <c r="B57" s="8"/>
      <c r="C57" s="8"/>
      <c r="D57" s="8"/>
      <c r="E57" s="8"/>
      <c r="F57" s="19"/>
      <c r="G57" s="8"/>
      <c r="H57" s="8"/>
      <c r="I57" s="8"/>
      <c r="J57" s="8"/>
      <c r="K57" s="8"/>
    </row>
    <row r="58" spans="2:12" ht="14.15" customHeight="1" x14ac:dyDescent="0.4">
      <c r="B58" s="267" t="s">
        <v>431</v>
      </c>
      <c r="C58" s="267"/>
      <c r="D58" s="267"/>
      <c r="E58" s="267"/>
      <c r="F58" s="19"/>
      <c r="G58" s="8"/>
      <c r="H58" s="8"/>
      <c r="I58" s="8"/>
      <c r="J58" s="8"/>
      <c r="K58" s="8"/>
    </row>
    <row r="59" spans="2:12" ht="14.15" customHeight="1" thickBot="1" x14ac:dyDescent="0.45">
      <c r="B59" s="19" t="s">
        <v>245</v>
      </c>
      <c r="C59" s="8"/>
      <c r="D59" s="8"/>
      <c r="E59" s="8"/>
      <c r="F59" s="19"/>
      <c r="G59" s="19"/>
      <c r="H59" s="19"/>
      <c r="I59" s="19"/>
      <c r="J59" s="19"/>
      <c r="K59" s="19"/>
    </row>
    <row r="60" spans="2:12" ht="18" customHeight="1" thickBot="1" x14ac:dyDescent="0.45">
      <c r="B60" s="469" t="s">
        <v>311</v>
      </c>
      <c r="C60" s="470"/>
      <c r="D60" s="470"/>
      <c r="E60" s="471"/>
      <c r="F60" s="209" t="s">
        <v>123</v>
      </c>
      <c r="G60" s="19"/>
      <c r="H60" s="19"/>
      <c r="I60" s="19"/>
      <c r="J60" s="19"/>
      <c r="K60" s="19"/>
    </row>
    <row r="61" spans="2:12" ht="15" customHeight="1" x14ac:dyDescent="0.4">
      <c r="B61" s="276" t="s">
        <v>57</v>
      </c>
      <c r="C61" s="277" t="s">
        <v>21</v>
      </c>
      <c r="D61" s="277" t="s">
        <v>245</v>
      </c>
      <c r="E61" s="277"/>
      <c r="F61" s="278">
        <v>1000</v>
      </c>
      <c r="G61" s="41"/>
      <c r="H61" s="41"/>
      <c r="I61" s="8"/>
      <c r="J61" s="201"/>
      <c r="K61" s="8"/>
    </row>
    <row r="62" spans="2:12" ht="15" customHeight="1" x14ac:dyDescent="0.4">
      <c r="B62" s="279" t="s">
        <v>57</v>
      </c>
      <c r="C62" s="280">
        <v>12</v>
      </c>
      <c r="D62" s="280" t="s">
        <v>245</v>
      </c>
      <c r="E62" s="280"/>
      <c r="F62" s="282">
        <v>1000</v>
      </c>
      <c r="G62" s="10"/>
      <c r="H62" s="10"/>
      <c r="I62" s="10"/>
      <c r="J62" s="202"/>
      <c r="K62" s="10"/>
    </row>
    <row r="63" spans="2:12" ht="15" customHeight="1" x14ac:dyDescent="0.4">
      <c r="B63" s="279" t="s">
        <v>57</v>
      </c>
      <c r="C63" s="280">
        <v>19</v>
      </c>
      <c r="D63" s="280" t="s">
        <v>245</v>
      </c>
      <c r="E63" s="280"/>
      <c r="F63" s="282">
        <v>1000</v>
      </c>
      <c r="G63" s="10"/>
      <c r="H63" s="10"/>
      <c r="I63" s="10"/>
      <c r="J63" s="201"/>
      <c r="K63" s="8"/>
    </row>
    <row r="64" spans="2:12" ht="15" customHeight="1" thickBot="1" x14ac:dyDescent="0.45">
      <c r="B64" s="285" t="s">
        <v>57</v>
      </c>
      <c r="C64" s="283">
        <v>26</v>
      </c>
      <c r="D64" s="283" t="s">
        <v>245</v>
      </c>
      <c r="E64" s="283"/>
      <c r="F64" s="284">
        <v>1000</v>
      </c>
      <c r="G64" s="10"/>
      <c r="H64" s="10"/>
      <c r="I64" s="10"/>
      <c r="J64" s="201"/>
      <c r="K64" s="10"/>
    </row>
    <row r="65" spans="2:11" ht="8.15" customHeight="1" x14ac:dyDescent="0.4">
      <c r="B65" s="210"/>
      <c r="C65" s="211"/>
      <c r="D65" s="212" t="s">
        <v>245</v>
      </c>
      <c r="E65" s="212"/>
      <c r="F65" s="213"/>
      <c r="G65" s="10"/>
      <c r="H65" s="10"/>
      <c r="I65" s="21"/>
      <c r="J65" s="201"/>
      <c r="K65" s="10"/>
    </row>
    <row r="66" spans="2:11" ht="14.15" customHeight="1" thickBot="1" x14ac:dyDescent="0.45">
      <c r="B66" s="466" t="s">
        <v>296</v>
      </c>
      <c r="C66" s="467"/>
      <c r="D66" s="467"/>
      <c r="E66" s="214"/>
      <c r="F66" s="215">
        <f>SUM(F61:F64)</f>
        <v>4000</v>
      </c>
      <c r="G66" s="10"/>
      <c r="H66" s="10"/>
      <c r="I66" s="21"/>
      <c r="J66" s="203"/>
      <c r="K66" s="10"/>
    </row>
    <row r="67" spans="2:11" ht="15.45" x14ac:dyDescent="0.4">
      <c r="B67" s="26"/>
      <c r="C67" s="8"/>
      <c r="D67" s="8"/>
      <c r="E67" s="8"/>
      <c r="F67" s="8"/>
      <c r="G67" s="10"/>
      <c r="H67" s="10"/>
      <c r="I67" s="27"/>
      <c r="J67" s="27"/>
      <c r="K67" s="10"/>
    </row>
    <row r="68" spans="2:11" ht="15.45" x14ac:dyDescent="0.4">
      <c r="B68" s="25"/>
      <c r="C68" s="8"/>
      <c r="D68" s="8"/>
      <c r="E68" s="8"/>
      <c r="F68" s="8"/>
      <c r="G68" s="41"/>
      <c r="H68" s="41"/>
      <c r="I68" s="21"/>
      <c r="J68" s="27"/>
      <c r="K68" s="10"/>
    </row>
    <row r="69" spans="2:11" ht="15.45" x14ac:dyDescent="0.4">
      <c r="B69" s="26"/>
      <c r="C69" s="8"/>
      <c r="D69" s="6"/>
      <c r="E69" s="6"/>
      <c r="F69" s="8"/>
      <c r="G69" s="10"/>
      <c r="H69" s="10"/>
      <c r="I69" s="10"/>
      <c r="J69" s="8"/>
      <c r="K69" s="10"/>
    </row>
    <row r="70" spans="2:11" ht="15.45" x14ac:dyDescent="0.4">
      <c r="F70" s="8"/>
      <c r="I70" s="27"/>
    </row>
  </sheetData>
  <mergeCells count="9">
    <mergeCell ref="B60:E60"/>
    <mergeCell ref="B66:D66"/>
    <mergeCell ref="B7:L7"/>
    <mergeCell ref="F9:J9"/>
    <mergeCell ref="G11:G12"/>
    <mergeCell ref="H11:H12"/>
    <mergeCell ref="I11:I12"/>
    <mergeCell ref="J11:K11"/>
    <mergeCell ref="L11:L12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41FD53-FE35-440E-829D-666D3441B19D}">
  <dimension ref="B1:S76"/>
  <sheetViews>
    <sheetView topLeftCell="A34" workbookViewId="0">
      <selection activeCell="M53" sqref="M53"/>
    </sheetView>
  </sheetViews>
  <sheetFormatPr defaultRowHeight="14.6" x14ac:dyDescent="0.4"/>
  <cols>
    <col min="1" max="1" width="3.3046875" customWidth="1"/>
    <col min="2" max="2" width="2.3046875" customWidth="1"/>
    <col min="3" max="3" width="16.69140625" customWidth="1"/>
    <col min="4" max="4" width="0.53515625" customWidth="1"/>
    <col min="6" max="6" width="0.84375" customWidth="1"/>
    <col min="7" max="7" width="12" customWidth="1"/>
    <col min="8" max="8" width="19.07421875" customWidth="1"/>
    <col min="9" max="10" width="18.3046875" customWidth="1"/>
    <col min="11" max="11" width="17.07421875" customWidth="1"/>
    <col min="12" max="12" width="3" customWidth="1"/>
    <col min="13" max="13" width="19.53515625" customWidth="1"/>
    <col min="14" max="14" width="1" customWidth="1"/>
    <col min="15" max="15" width="12.84375" customWidth="1"/>
    <col min="16" max="16" width="9.53515625" bestFit="1" customWidth="1"/>
    <col min="17" max="17" width="9.84375" customWidth="1"/>
  </cols>
  <sheetData>
    <row r="1" spans="3:15" ht="6" customHeight="1" x14ac:dyDescent="0.4"/>
    <row r="2" spans="3:15" ht="6" customHeight="1" x14ac:dyDescent="0.4"/>
    <row r="3" spans="3:15" ht="6" customHeight="1" x14ac:dyDescent="0.4"/>
    <row r="4" spans="3:15" ht="20.149999999999999" customHeight="1" x14ac:dyDescent="0.4">
      <c r="C4" s="476" t="s">
        <v>0</v>
      </c>
      <c r="D4" s="476"/>
      <c r="E4" s="476"/>
      <c r="F4" s="476"/>
      <c r="G4" s="476"/>
      <c r="H4" s="476"/>
      <c r="I4" s="476"/>
      <c r="J4" s="476"/>
      <c r="K4" s="476"/>
      <c r="L4" s="476"/>
      <c r="M4" s="476"/>
      <c r="N4" s="476"/>
    </row>
    <row r="5" spans="3:15" ht="20.149999999999999" customHeight="1" x14ac:dyDescent="0.45">
      <c r="C5" s="492" t="s">
        <v>333</v>
      </c>
      <c r="D5" s="492"/>
      <c r="E5" s="492"/>
      <c r="F5" s="492"/>
      <c r="G5" s="492"/>
      <c r="H5" s="492"/>
      <c r="I5" s="492"/>
      <c r="J5" s="492"/>
      <c r="K5" s="492"/>
      <c r="L5" s="492"/>
      <c r="M5" s="492"/>
      <c r="N5" s="243"/>
    </row>
    <row r="6" spans="3:15" ht="20.149999999999999" customHeight="1" x14ac:dyDescent="0.45">
      <c r="C6" s="492" t="s">
        <v>245</v>
      </c>
      <c r="D6" s="492"/>
      <c r="E6" s="492"/>
      <c r="F6" s="492"/>
      <c r="G6" s="492"/>
      <c r="H6" s="492"/>
      <c r="I6" s="492"/>
      <c r="J6" s="492"/>
      <c r="K6" s="492"/>
      <c r="L6" s="492"/>
      <c r="M6" s="492"/>
      <c r="N6" s="243"/>
    </row>
    <row r="7" spans="3:15" ht="20.149999999999999" customHeight="1" x14ac:dyDescent="0.45">
      <c r="C7" s="476" t="s">
        <v>318</v>
      </c>
      <c r="D7" s="476"/>
      <c r="E7" s="476"/>
      <c r="F7" s="476"/>
      <c r="G7" s="476"/>
      <c r="H7" s="476"/>
      <c r="I7" s="476"/>
      <c r="J7" s="476"/>
      <c r="K7" s="476"/>
      <c r="L7" s="476"/>
      <c r="M7" s="476"/>
      <c r="N7" s="243"/>
    </row>
    <row r="8" spans="3:15" ht="20.149999999999999" customHeight="1" x14ac:dyDescent="0.45">
      <c r="C8" s="476" t="s">
        <v>439</v>
      </c>
      <c r="D8" s="476"/>
      <c r="E8" s="476"/>
      <c r="F8" s="476"/>
      <c r="G8" s="476"/>
      <c r="H8" s="476"/>
      <c r="I8" s="476"/>
      <c r="J8" s="476"/>
      <c r="K8" s="476"/>
      <c r="L8" s="476"/>
      <c r="M8" s="476"/>
      <c r="N8" s="221"/>
    </row>
    <row r="9" spans="3:15" ht="15" customHeight="1" x14ac:dyDescent="0.4"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</row>
    <row r="10" spans="3:15" ht="15" customHeight="1" x14ac:dyDescent="0.45">
      <c r="C10" s="220" t="s">
        <v>440</v>
      </c>
      <c r="D10" s="221"/>
      <c r="E10" s="221"/>
      <c r="F10" s="221"/>
      <c r="G10" s="221"/>
      <c r="H10" s="221"/>
      <c r="I10" s="221"/>
      <c r="J10" s="221"/>
      <c r="K10" s="221"/>
      <c r="L10" s="247" t="s">
        <v>326</v>
      </c>
      <c r="M10" s="219">
        <v>5504.2999999999975</v>
      </c>
      <c r="N10" s="8"/>
      <c r="O10" s="135" t="s">
        <v>245</v>
      </c>
    </row>
    <row r="11" spans="3:15" ht="15" customHeight="1" x14ac:dyDescent="0.45">
      <c r="C11" s="221"/>
      <c r="D11" s="221"/>
      <c r="E11" s="221"/>
      <c r="F11" s="221"/>
      <c r="G11" s="221"/>
      <c r="H11" s="221"/>
      <c r="I11" s="221"/>
      <c r="J11" s="221"/>
      <c r="K11" s="221"/>
      <c r="L11" s="8"/>
      <c r="M11" s="8"/>
      <c r="N11" s="8"/>
    </row>
    <row r="12" spans="3:15" ht="15" customHeight="1" x14ac:dyDescent="0.45">
      <c r="C12" s="220" t="s">
        <v>441</v>
      </c>
      <c r="D12" s="220"/>
      <c r="E12" s="221"/>
      <c r="F12" s="221"/>
      <c r="G12" s="221"/>
      <c r="H12" s="221"/>
      <c r="I12" s="221"/>
      <c r="J12" s="221"/>
      <c r="K12" s="221"/>
      <c r="L12" s="8"/>
      <c r="M12" s="8"/>
      <c r="N12" s="8"/>
    </row>
    <row r="13" spans="3:15" ht="15" customHeight="1" x14ac:dyDescent="0.45">
      <c r="C13" s="221"/>
      <c r="D13" s="221"/>
      <c r="E13" s="221"/>
      <c r="F13" s="221"/>
      <c r="G13" s="221"/>
      <c r="H13" s="221"/>
      <c r="I13" s="226" t="s">
        <v>245</v>
      </c>
      <c r="J13" s="226"/>
      <c r="K13" s="226" t="s">
        <v>245</v>
      </c>
      <c r="L13" s="19"/>
      <c r="M13" s="8"/>
      <c r="N13" s="8"/>
    </row>
    <row r="14" spans="3:15" ht="15" customHeight="1" x14ac:dyDescent="0.45">
      <c r="C14" s="476" t="s">
        <v>305</v>
      </c>
      <c r="D14" s="476"/>
      <c r="E14" s="476"/>
      <c r="F14" s="221"/>
      <c r="G14" s="221" t="s">
        <v>320</v>
      </c>
      <c r="H14" s="221"/>
      <c r="I14" s="226"/>
      <c r="J14" s="226"/>
      <c r="K14" s="226"/>
      <c r="L14" s="19"/>
      <c r="M14" s="8"/>
      <c r="N14" s="8"/>
    </row>
    <row r="15" spans="3:15" ht="15" customHeight="1" x14ac:dyDescent="0.45">
      <c r="C15" s="238"/>
      <c r="D15" s="238"/>
      <c r="E15" s="238"/>
      <c r="F15" s="221"/>
      <c r="G15" s="221"/>
      <c r="H15" s="221"/>
      <c r="I15" s="226"/>
      <c r="J15" s="226"/>
      <c r="K15" s="226"/>
      <c r="L15" s="19"/>
      <c r="M15" s="8"/>
      <c r="N15" s="8"/>
    </row>
    <row r="16" spans="3:15" ht="15" customHeight="1" x14ac:dyDescent="0.45">
      <c r="C16" s="476" t="s">
        <v>245</v>
      </c>
      <c r="D16" s="476"/>
      <c r="E16" s="476"/>
      <c r="F16" s="221"/>
      <c r="G16" s="221"/>
      <c r="H16" s="239" t="s">
        <v>316</v>
      </c>
      <c r="I16" s="239" t="s">
        <v>2</v>
      </c>
      <c r="J16" s="239" t="s">
        <v>407</v>
      </c>
      <c r="K16" s="239" t="s">
        <v>306</v>
      </c>
      <c r="L16" s="19"/>
      <c r="M16" s="8"/>
      <c r="N16" s="8"/>
    </row>
    <row r="17" spans="3:16" ht="15" customHeight="1" x14ac:dyDescent="0.45">
      <c r="C17" s="221"/>
      <c r="D17" s="221"/>
      <c r="E17" s="226" t="s">
        <v>245</v>
      </c>
      <c r="F17" s="226"/>
      <c r="G17" s="240" t="s">
        <v>245</v>
      </c>
      <c r="H17" s="222" t="s">
        <v>245</v>
      </c>
      <c r="I17" s="241" t="s">
        <v>245</v>
      </c>
      <c r="J17" s="241"/>
      <c r="K17" s="230" t="s">
        <v>245</v>
      </c>
      <c r="L17" s="201"/>
      <c r="M17" s="8"/>
      <c r="N17" s="8"/>
    </row>
    <row r="18" spans="3:16" ht="20.149999999999999" customHeight="1" x14ac:dyDescent="0.45">
      <c r="C18" s="221"/>
      <c r="D18" s="221"/>
      <c r="E18" s="226" t="s">
        <v>59</v>
      </c>
      <c r="F18" s="226"/>
      <c r="G18" s="240" t="s">
        <v>29</v>
      </c>
      <c r="H18" s="222">
        <v>3258</v>
      </c>
      <c r="I18" s="222">
        <v>0</v>
      </c>
      <c r="J18" s="222">
        <v>0</v>
      </c>
      <c r="K18" s="222">
        <f>H18-I18-J18</f>
        <v>3258</v>
      </c>
      <c r="L18" s="216"/>
      <c r="M18" s="8"/>
      <c r="N18" s="8"/>
    </row>
    <row r="19" spans="3:16" ht="20.149999999999999" customHeight="1" x14ac:dyDescent="0.45">
      <c r="C19" s="221"/>
      <c r="D19" s="221"/>
      <c r="E19" s="226" t="s">
        <v>59</v>
      </c>
      <c r="F19" s="226"/>
      <c r="G19" s="240">
        <v>16</v>
      </c>
      <c r="H19" s="223">
        <v>903</v>
      </c>
      <c r="I19" s="222">
        <v>150</v>
      </c>
      <c r="J19" s="222">
        <v>0</v>
      </c>
      <c r="K19" s="222">
        <f>H19-I19</f>
        <v>753</v>
      </c>
      <c r="L19" s="216"/>
      <c r="M19" s="8"/>
      <c r="N19" s="8"/>
      <c r="O19" s="272" t="s">
        <v>245</v>
      </c>
    </row>
    <row r="20" spans="3:16" ht="20.149999999999999" customHeight="1" x14ac:dyDescent="0.45">
      <c r="C20" s="221"/>
      <c r="D20" s="221"/>
      <c r="E20" s="226" t="s">
        <v>59</v>
      </c>
      <c r="F20" s="226"/>
      <c r="G20" s="240">
        <v>23</v>
      </c>
      <c r="H20" s="223">
        <v>1125</v>
      </c>
      <c r="I20" s="222">
        <v>300</v>
      </c>
      <c r="J20" s="222">
        <v>0</v>
      </c>
      <c r="K20" s="222">
        <f>H20-I20</f>
        <v>825</v>
      </c>
      <c r="L20" s="216"/>
      <c r="M20" s="8"/>
      <c r="N20" s="8"/>
    </row>
    <row r="21" spans="3:16" ht="20.149999999999999" customHeight="1" x14ac:dyDescent="0.75">
      <c r="C21" s="221"/>
      <c r="D21" s="221"/>
      <c r="E21" s="226" t="s">
        <v>59</v>
      </c>
      <c r="F21" s="226"/>
      <c r="G21" s="240">
        <v>30</v>
      </c>
      <c r="H21" s="265">
        <v>1024</v>
      </c>
      <c r="I21" s="266">
        <v>0</v>
      </c>
      <c r="J21" s="266">
        <v>0</v>
      </c>
      <c r="K21" s="266">
        <f>H21-I21</f>
        <v>1024</v>
      </c>
      <c r="L21" s="216"/>
      <c r="M21" s="44" t="s">
        <v>245</v>
      </c>
      <c r="N21" s="8"/>
    </row>
    <row r="22" spans="3:16" ht="15" customHeight="1" x14ac:dyDescent="0.45">
      <c r="C22" s="221"/>
      <c r="D22" s="221"/>
      <c r="E22" s="226"/>
      <c r="F22" s="226"/>
      <c r="G22" s="240"/>
      <c r="H22" s="223"/>
      <c r="I22" s="222"/>
      <c r="J22" s="222"/>
      <c r="K22" s="222"/>
      <c r="L22" s="216"/>
      <c r="M22" s="44"/>
      <c r="N22" s="8"/>
    </row>
    <row r="23" spans="3:16" ht="15" customHeight="1" x14ac:dyDescent="0.45">
      <c r="C23" s="221"/>
      <c r="D23" s="221"/>
      <c r="E23" s="238" t="s">
        <v>65</v>
      </c>
      <c r="F23" s="221"/>
      <c r="G23" s="226"/>
      <c r="H23" s="288">
        <f>SUM(H18:H21)</f>
        <v>6310</v>
      </c>
      <c r="I23" s="296">
        <f>SUM(I18:I21)</f>
        <v>450</v>
      </c>
      <c r="J23" s="288">
        <f>SUM(J18:J21)</f>
        <v>0</v>
      </c>
      <c r="K23" s="248">
        <f>SUM(K18:K21)</f>
        <v>5860</v>
      </c>
      <c r="L23" s="218"/>
      <c r="M23" s="44" t="s">
        <v>245</v>
      </c>
      <c r="N23" s="8"/>
      <c r="O23" t="s">
        <v>245</v>
      </c>
      <c r="P23" s="135" t="s">
        <v>245</v>
      </c>
    </row>
    <row r="24" spans="3:16" ht="15" customHeight="1" x14ac:dyDescent="0.45">
      <c r="C24" s="221"/>
      <c r="D24" s="221"/>
      <c r="E24" s="221"/>
      <c r="F24" s="221"/>
      <c r="G24" s="226"/>
      <c r="H24" s="224"/>
      <c r="I24" s="222"/>
      <c r="J24" s="222"/>
      <c r="K24" s="222"/>
      <c r="L24" s="216"/>
      <c r="M24" s="44"/>
      <c r="N24" s="8"/>
    </row>
    <row r="25" spans="3:16" ht="15.75" customHeight="1" x14ac:dyDescent="0.45">
      <c r="C25" s="220" t="s">
        <v>245</v>
      </c>
      <c r="D25" s="221"/>
      <c r="E25" s="221"/>
      <c r="F25" s="221"/>
      <c r="G25" s="226"/>
      <c r="H25" s="224"/>
      <c r="I25" s="222"/>
      <c r="J25" s="222"/>
      <c r="K25" s="248" t="s">
        <v>245</v>
      </c>
      <c r="L25" s="216"/>
      <c r="M25" s="44"/>
      <c r="N25" s="8"/>
    </row>
    <row r="26" spans="3:16" ht="15" customHeight="1" x14ac:dyDescent="0.45">
      <c r="C26" s="221"/>
      <c r="D26" s="221"/>
      <c r="E26" s="221"/>
      <c r="F26" s="221"/>
      <c r="G26" s="226"/>
      <c r="H26" s="224"/>
      <c r="I26" s="222"/>
      <c r="J26" s="222"/>
      <c r="K26" s="222"/>
      <c r="L26" s="216"/>
      <c r="M26" s="44"/>
      <c r="N26" s="8"/>
    </row>
    <row r="27" spans="3:16" ht="15" customHeight="1" x14ac:dyDescent="0.45">
      <c r="C27" s="495" t="s">
        <v>376</v>
      </c>
      <c r="D27" s="495"/>
      <c r="E27" s="495"/>
      <c r="F27" s="495"/>
      <c r="G27" s="495"/>
      <c r="H27" s="495"/>
      <c r="I27" s="495"/>
      <c r="J27" s="297"/>
      <c r="K27" s="219" t="s">
        <v>245</v>
      </c>
      <c r="L27" s="219"/>
      <c r="M27" s="225" t="s">
        <v>245</v>
      </c>
      <c r="N27" s="8"/>
    </row>
    <row r="28" spans="3:16" ht="15" customHeight="1" x14ac:dyDescent="0.45">
      <c r="C28" s="220"/>
      <c r="D28" s="221"/>
      <c r="E28" s="221"/>
      <c r="F28" s="221"/>
      <c r="G28" s="221"/>
      <c r="H28" s="226"/>
      <c r="I28" s="230"/>
      <c r="J28" s="230"/>
      <c r="K28" s="219"/>
      <c r="L28" s="219"/>
      <c r="M28" s="225"/>
      <c r="N28" s="8"/>
    </row>
    <row r="29" spans="3:16" ht="22.95" customHeight="1" x14ac:dyDescent="0.45">
      <c r="C29" s="220"/>
      <c r="D29" s="221"/>
      <c r="E29" s="475" t="s">
        <v>377</v>
      </c>
      <c r="F29" s="475"/>
      <c r="G29" s="475"/>
      <c r="H29" s="475"/>
      <c r="I29" s="230"/>
      <c r="J29" s="230"/>
      <c r="K29" s="299">
        <f>'June-2024-SchedA'!I50</f>
        <v>120</v>
      </c>
      <c r="L29" s="219"/>
      <c r="M29" s="231">
        <f>K29+K23</f>
        <v>5980</v>
      </c>
      <c r="N29" s="8"/>
      <c r="O29" s="304">
        <v>5960</v>
      </c>
      <c r="P29" s="135">
        <f>M29-O29</f>
        <v>20</v>
      </c>
    </row>
    <row r="30" spans="3:16" ht="15" customHeight="1" x14ac:dyDescent="0.75">
      <c r="C30" s="242"/>
      <c r="D30" s="236"/>
      <c r="E30" s="243"/>
      <c r="F30" s="236"/>
      <c r="G30" s="226"/>
      <c r="H30" s="226"/>
      <c r="I30" s="226"/>
      <c r="J30" s="226"/>
      <c r="K30" s="222"/>
      <c r="L30" s="222"/>
      <c r="M30" s="244"/>
      <c r="N30" s="8"/>
    </row>
    <row r="31" spans="3:16" ht="15" customHeight="1" x14ac:dyDescent="0.45">
      <c r="C31" s="220" t="s">
        <v>442</v>
      </c>
      <c r="D31" s="220"/>
      <c r="E31" s="221"/>
      <c r="F31" s="221"/>
      <c r="G31" s="221"/>
      <c r="H31" s="221"/>
      <c r="I31" s="221"/>
      <c r="J31" s="221"/>
      <c r="K31" s="221"/>
      <c r="L31" s="221"/>
      <c r="M31" s="300">
        <v>0</v>
      </c>
      <c r="N31" s="8"/>
    </row>
    <row r="32" spans="3:16" ht="15" customHeight="1" x14ac:dyDescent="0.75">
      <c r="C32" s="242"/>
      <c r="D32" s="236"/>
      <c r="E32" s="243"/>
      <c r="F32" s="236"/>
      <c r="G32" s="226"/>
      <c r="H32" s="226"/>
      <c r="I32" s="226"/>
      <c r="J32" s="226"/>
      <c r="K32" s="222"/>
      <c r="L32" s="222"/>
      <c r="M32" s="244"/>
      <c r="N32" s="8"/>
    </row>
    <row r="33" spans="3:15" ht="20.149999999999999" customHeight="1" x14ac:dyDescent="0.45">
      <c r="C33" s="220" t="s">
        <v>313</v>
      </c>
      <c r="D33" s="220"/>
      <c r="E33" s="221"/>
      <c r="F33" s="221"/>
      <c r="G33" s="221"/>
      <c r="H33" s="221"/>
      <c r="I33" s="221"/>
      <c r="J33" s="221"/>
      <c r="K33" s="221"/>
      <c r="L33" s="247" t="s">
        <v>326</v>
      </c>
      <c r="M33" s="219">
        <f>M10+M29+M31</f>
        <v>11484.299999999997</v>
      </c>
      <c r="N33" s="8"/>
      <c r="O33" t="s">
        <v>245</v>
      </c>
    </row>
    <row r="34" spans="3:15" ht="13.5" customHeight="1" x14ac:dyDescent="0.45">
      <c r="C34" s="220"/>
      <c r="D34" s="220"/>
      <c r="E34" s="221"/>
      <c r="F34" s="221"/>
      <c r="G34" s="221"/>
      <c r="H34" s="221"/>
      <c r="I34" s="221"/>
      <c r="J34" s="221"/>
      <c r="K34" s="221"/>
      <c r="L34" s="221"/>
      <c r="M34" s="221"/>
      <c r="N34" s="8"/>
    </row>
    <row r="35" spans="3:15" ht="13.5" customHeight="1" x14ac:dyDescent="0.45">
      <c r="C35" s="220"/>
      <c r="D35" s="220"/>
      <c r="E35" s="221"/>
      <c r="F35" s="221"/>
      <c r="G35" s="221"/>
      <c r="H35" s="221"/>
      <c r="I35" s="221"/>
      <c r="J35" s="221"/>
      <c r="K35" s="221"/>
      <c r="L35" s="221"/>
      <c r="M35" s="221"/>
      <c r="N35" s="8"/>
    </row>
    <row r="36" spans="3:15" ht="13.5" customHeight="1" x14ac:dyDescent="0.45">
      <c r="C36" s="220"/>
      <c r="D36" s="220"/>
      <c r="E36" s="221"/>
      <c r="F36" s="221"/>
      <c r="G36" s="221"/>
      <c r="H36" s="221"/>
      <c r="I36" s="221"/>
      <c r="J36" s="221"/>
      <c r="K36" s="221"/>
      <c r="L36" s="221"/>
      <c r="M36" s="221"/>
      <c r="N36" s="8"/>
    </row>
    <row r="37" spans="3:15" ht="13.5" customHeight="1" x14ac:dyDescent="0.45">
      <c r="C37" s="220"/>
      <c r="D37" s="220"/>
      <c r="E37" s="221"/>
      <c r="F37" s="221"/>
      <c r="G37" s="221"/>
      <c r="H37" s="221"/>
      <c r="I37" s="221"/>
      <c r="J37" s="221"/>
      <c r="K37" s="221"/>
      <c r="L37" s="221"/>
      <c r="M37" s="221"/>
      <c r="N37" s="8"/>
    </row>
    <row r="38" spans="3:15" ht="13.5" customHeight="1" x14ac:dyDescent="0.45">
      <c r="C38" s="220" t="s">
        <v>443</v>
      </c>
      <c r="D38" s="220"/>
      <c r="E38" s="221"/>
      <c r="F38" s="221"/>
      <c r="G38" s="221"/>
      <c r="H38" s="221"/>
      <c r="I38" s="221"/>
      <c r="J38" s="221"/>
      <c r="K38" s="221"/>
      <c r="L38" s="221"/>
      <c r="M38" s="221"/>
      <c r="N38" s="8"/>
    </row>
    <row r="39" spans="3:15" ht="15" customHeight="1" x14ac:dyDescent="0.45">
      <c r="C39" s="221" t="s">
        <v>245</v>
      </c>
      <c r="D39" s="221"/>
      <c r="E39" s="221" t="s">
        <v>245</v>
      </c>
      <c r="F39" s="221"/>
      <c r="G39" s="221"/>
      <c r="H39" s="221"/>
      <c r="I39" s="221"/>
      <c r="J39" s="221"/>
      <c r="K39" s="221"/>
      <c r="L39" s="221"/>
      <c r="M39" s="221"/>
      <c r="N39" s="8"/>
    </row>
    <row r="40" spans="3:15" ht="15" customHeight="1" x14ac:dyDescent="0.45">
      <c r="C40" s="239" t="s">
        <v>5</v>
      </c>
      <c r="D40" s="226"/>
      <c r="E40" s="226" t="s">
        <v>257</v>
      </c>
      <c r="F40" s="226"/>
      <c r="G40" s="487" t="s">
        <v>373</v>
      </c>
      <c r="H40" s="487"/>
      <c r="I40" s="487"/>
      <c r="J40" s="236"/>
      <c r="K40" s="236" t="s">
        <v>123</v>
      </c>
      <c r="L40" s="221"/>
      <c r="M40" s="226" t="s">
        <v>245</v>
      </c>
      <c r="N40" s="19"/>
    </row>
    <row r="41" spans="3:15" ht="15" customHeight="1" x14ac:dyDescent="0.45">
      <c r="C41" s="226"/>
      <c r="D41" s="226"/>
      <c r="E41" s="226"/>
      <c r="F41" s="226"/>
      <c r="G41" s="221"/>
      <c r="H41" s="221"/>
      <c r="I41" s="221"/>
      <c r="J41" s="221"/>
      <c r="K41" s="221"/>
      <c r="L41" s="221"/>
      <c r="M41" s="226"/>
      <c r="N41" s="19"/>
    </row>
    <row r="42" spans="3:15" ht="20.149999999999999" customHeight="1" x14ac:dyDescent="0.45">
      <c r="C42" s="292" t="s">
        <v>444</v>
      </c>
      <c r="D42" s="226"/>
      <c r="E42" s="226"/>
      <c r="F42" s="226"/>
      <c r="G42" s="228" t="s">
        <v>445</v>
      </c>
      <c r="H42" s="221"/>
      <c r="I42" s="221"/>
      <c r="J42" s="221"/>
      <c r="K42" s="222">
        <v>150</v>
      </c>
      <c r="L42" s="222"/>
      <c r="M42" s="222"/>
      <c r="N42" s="19"/>
    </row>
    <row r="43" spans="3:15" ht="20.149999999999999" customHeight="1" x14ac:dyDescent="0.45">
      <c r="C43" s="292" t="s">
        <v>446</v>
      </c>
      <c r="D43" s="226"/>
      <c r="E43" s="226"/>
      <c r="F43" s="226"/>
      <c r="G43" s="228" t="s">
        <v>448</v>
      </c>
      <c r="H43" s="221"/>
      <c r="I43" s="221"/>
      <c r="J43" s="221"/>
      <c r="K43" s="222">
        <v>1000</v>
      </c>
      <c r="L43" s="222"/>
      <c r="M43" s="222" t="s">
        <v>245</v>
      </c>
      <c r="N43" s="19"/>
    </row>
    <row r="44" spans="3:15" ht="20.149999999999999" customHeight="1" x14ac:dyDescent="0.75">
      <c r="C44" s="292" t="s">
        <v>447</v>
      </c>
      <c r="D44" s="226"/>
      <c r="E44" s="226"/>
      <c r="F44" s="226"/>
      <c r="G44" s="228" t="s">
        <v>449</v>
      </c>
      <c r="H44" s="221"/>
      <c r="I44" s="221"/>
      <c r="J44" s="221"/>
      <c r="K44" s="222">
        <f>300+300</f>
        <v>600</v>
      </c>
      <c r="L44" s="222"/>
      <c r="M44" s="266"/>
      <c r="N44" s="19"/>
    </row>
    <row r="45" spans="3:15" ht="20.149999999999999" customHeight="1" x14ac:dyDescent="0.75">
      <c r="C45" s="292" t="s">
        <v>450</v>
      </c>
      <c r="D45" s="226"/>
      <c r="E45" s="226"/>
      <c r="F45" s="226"/>
      <c r="G45" s="228" t="s">
        <v>451</v>
      </c>
      <c r="H45" s="221"/>
      <c r="I45" s="221"/>
      <c r="J45" s="221"/>
      <c r="K45" s="222">
        <v>239</v>
      </c>
      <c r="L45" s="222"/>
      <c r="M45" s="266"/>
      <c r="N45" s="19"/>
    </row>
    <row r="46" spans="3:15" ht="20.149999999999999" customHeight="1" x14ac:dyDescent="0.75">
      <c r="C46" s="292" t="s">
        <v>452</v>
      </c>
      <c r="D46" s="226"/>
      <c r="E46" s="226"/>
      <c r="F46" s="226"/>
      <c r="G46" s="228" t="s">
        <v>432</v>
      </c>
      <c r="H46" s="221"/>
      <c r="I46" s="221"/>
      <c r="J46" s="221"/>
      <c r="K46" s="222">
        <v>210.15</v>
      </c>
      <c r="L46" s="222"/>
      <c r="M46" s="266"/>
      <c r="N46" s="19"/>
    </row>
    <row r="47" spans="3:15" ht="20.149999999999999" customHeight="1" x14ac:dyDescent="0.85">
      <c r="C47" s="292" t="s">
        <v>453</v>
      </c>
      <c r="D47" s="226"/>
      <c r="E47" s="226"/>
      <c r="F47" s="226"/>
      <c r="G47" s="228" t="s">
        <v>454</v>
      </c>
      <c r="H47" s="221"/>
      <c r="I47" s="221"/>
      <c r="J47" s="221"/>
      <c r="K47" s="266">
        <v>700</v>
      </c>
      <c r="L47" s="222"/>
      <c r="M47" s="301">
        <f>SUM(K42:K47)</f>
        <v>2899.15</v>
      </c>
      <c r="N47" s="19"/>
    </row>
    <row r="48" spans="3:15" ht="15" customHeight="1" x14ac:dyDescent="0.45">
      <c r="C48" s="227"/>
      <c r="D48" s="227"/>
      <c r="E48" s="229"/>
      <c r="F48" s="229"/>
      <c r="G48" s="228"/>
      <c r="H48" s="221"/>
      <c r="I48" s="221"/>
      <c r="J48" s="221"/>
      <c r="K48" s="230"/>
      <c r="L48" s="230"/>
      <c r="M48" s="230"/>
      <c r="N48" s="201"/>
    </row>
    <row r="49" spans="2:19" ht="20.149999999999999" customHeight="1" x14ac:dyDescent="0.45">
      <c r="C49" s="220" t="s">
        <v>327</v>
      </c>
      <c r="D49" s="220"/>
      <c r="E49" s="221"/>
      <c r="F49" s="221"/>
      <c r="G49" s="221"/>
      <c r="H49" s="221"/>
      <c r="I49" s="221"/>
      <c r="J49" s="221"/>
      <c r="K49" s="221"/>
      <c r="L49" s="221"/>
      <c r="M49" s="231">
        <f>M33-M47</f>
        <v>8585.1499999999978</v>
      </c>
      <c r="N49" s="44"/>
    </row>
    <row r="50" spans="2:19" ht="13.5" customHeight="1" x14ac:dyDescent="0.45">
      <c r="C50" s="221"/>
      <c r="D50" s="221"/>
      <c r="E50" s="221"/>
      <c r="F50" s="221"/>
      <c r="G50" s="221"/>
      <c r="H50" s="221"/>
      <c r="I50" s="221"/>
      <c r="J50" s="221"/>
      <c r="K50" s="221"/>
      <c r="L50" s="221"/>
      <c r="M50" s="225"/>
      <c r="N50" s="44"/>
    </row>
    <row r="51" spans="2:19" ht="20.149999999999999" customHeight="1" x14ac:dyDescent="0.85">
      <c r="C51" s="220" t="s">
        <v>456</v>
      </c>
      <c r="D51" s="221"/>
      <c r="E51" s="221"/>
      <c r="F51" s="221"/>
      <c r="G51" s="221"/>
      <c r="H51" s="221"/>
      <c r="I51" s="221"/>
      <c r="J51" s="221"/>
      <c r="K51" s="221"/>
      <c r="L51" s="221"/>
      <c r="M51" s="264">
        <v>1412.15</v>
      </c>
      <c r="N51" s="44"/>
    </row>
    <row r="52" spans="2:19" ht="13.5" customHeight="1" x14ac:dyDescent="0.45">
      <c r="C52" s="221"/>
      <c r="D52" s="221"/>
      <c r="E52" s="221"/>
      <c r="F52" s="221"/>
      <c r="G52" s="221"/>
      <c r="H52" s="221"/>
      <c r="I52" s="221"/>
      <c r="J52" s="221"/>
      <c r="K52" s="221"/>
      <c r="L52" s="221"/>
      <c r="M52" s="225"/>
      <c r="N52" s="44"/>
    </row>
    <row r="53" spans="2:19" ht="24.45" customHeight="1" thickBot="1" x14ac:dyDescent="0.5">
      <c r="C53" s="220" t="s">
        <v>455</v>
      </c>
      <c r="D53" s="221"/>
      <c r="E53" s="221"/>
      <c r="F53" s="221"/>
      <c r="G53" s="221"/>
      <c r="H53" s="221"/>
      <c r="I53" s="221"/>
      <c r="J53" s="221"/>
      <c r="K53" s="221"/>
      <c r="L53" s="245" t="s">
        <v>326</v>
      </c>
      <c r="M53" s="232">
        <f>M49-M51</f>
        <v>7172.9999999999982</v>
      </c>
      <c r="N53" s="8"/>
      <c r="O53" s="2">
        <f>M49-M51</f>
        <v>7172.9999999999982</v>
      </c>
      <c r="P53" s="135"/>
      <c r="Q53" s="135"/>
      <c r="R53" s="135"/>
      <c r="S53" s="135"/>
    </row>
    <row r="54" spans="2:19" ht="13.5" customHeight="1" thickTop="1" x14ac:dyDescent="0.45">
      <c r="C54" s="221"/>
      <c r="D54" s="221"/>
      <c r="E54" s="220"/>
      <c r="F54" s="220"/>
      <c r="G54" s="221"/>
      <c r="H54" s="221"/>
      <c r="I54" s="221"/>
      <c r="J54" s="221"/>
      <c r="K54" s="221"/>
      <c r="L54" s="221"/>
      <c r="M54" s="221"/>
      <c r="N54" s="8"/>
      <c r="O54" s="135"/>
      <c r="P54" s="474"/>
      <c r="Q54" s="474"/>
    </row>
    <row r="55" spans="2:19" ht="13.5" customHeight="1" x14ac:dyDescent="0.45">
      <c r="C55" s="221"/>
      <c r="D55" s="221"/>
      <c r="E55" s="220"/>
      <c r="F55" s="220"/>
      <c r="G55" s="221"/>
      <c r="H55" s="221"/>
      <c r="I55" s="221"/>
      <c r="J55" s="221"/>
      <c r="K55" s="221"/>
      <c r="L55" s="221"/>
      <c r="M55" s="221"/>
      <c r="N55" s="8"/>
      <c r="O55" s="270"/>
    </row>
    <row r="56" spans="2:19" ht="13.5" customHeight="1" thickBot="1" x14ac:dyDescent="0.45">
      <c r="C56" s="8"/>
      <c r="D56" s="8"/>
      <c r="E56" s="13"/>
      <c r="F56" s="13"/>
      <c r="G56" s="8"/>
      <c r="H56" s="8"/>
      <c r="I56" s="8"/>
      <c r="J56" s="8"/>
      <c r="K56" s="8"/>
      <c r="L56" s="8"/>
      <c r="M56" s="8"/>
      <c r="N56" s="8"/>
    </row>
    <row r="57" spans="2:19" ht="13.5" customHeight="1" x14ac:dyDescent="0.45">
      <c r="B57" s="251"/>
      <c r="C57" s="493" t="s">
        <v>459</v>
      </c>
      <c r="D57" s="493"/>
      <c r="E57" s="493"/>
      <c r="F57" s="493"/>
      <c r="G57" s="493"/>
      <c r="H57" s="493"/>
      <c r="I57" s="252"/>
      <c r="J57" s="252"/>
      <c r="K57" s="252"/>
      <c r="L57" s="483" t="s">
        <v>326</v>
      </c>
      <c r="M57" s="479">
        <v>62813.66</v>
      </c>
      <c r="N57" s="253"/>
    </row>
    <row r="58" spans="2:19" ht="11.15" customHeight="1" x14ac:dyDescent="0.4">
      <c r="B58" s="254"/>
      <c r="C58" s="494"/>
      <c r="D58" s="494"/>
      <c r="E58" s="494"/>
      <c r="F58" s="494"/>
      <c r="G58" s="494"/>
      <c r="H58" s="494"/>
      <c r="I58" s="220"/>
      <c r="J58" s="220"/>
      <c r="K58" s="220"/>
      <c r="L58" s="484"/>
      <c r="M58" s="480"/>
      <c r="N58" s="255"/>
    </row>
    <row r="59" spans="2:19" ht="16.2" customHeight="1" x14ac:dyDescent="0.4">
      <c r="B59" s="256"/>
      <c r="C59" s="496" t="s">
        <v>458</v>
      </c>
      <c r="D59" s="496"/>
      <c r="E59" s="496"/>
      <c r="F59" s="496"/>
      <c r="G59" s="496"/>
      <c r="H59" s="496"/>
      <c r="I59" s="233"/>
      <c r="J59" s="233"/>
      <c r="K59" s="233"/>
      <c r="L59" s="233"/>
      <c r="M59" s="261">
        <v>1412.15</v>
      </c>
      <c r="N59" s="174"/>
    </row>
    <row r="60" spans="2:19" ht="16.2" customHeight="1" thickBot="1" x14ac:dyDescent="0.5">
      <c r="B60" s="254"/>
      <c r="C60" s="497" t="s">
        <v>322</v>
      </c>
      <c r="D60" s="497"/>
      <c r="E60" s="497"/>
      <c r="F60" s="497"/>
      <c r="G60" s="497"/>
      <c r="H60" s="497"/>
      <c r="I60" s="302"/>
      <c r="J60" s="302"/>
      <c r="K60" s="303"/>
      <c r="L60" s="303"/>
      <c r="M60" s="261">
        <f>6.61-1.32</f>
        <v>5.29</v>
      </c>
      <c r="N60" s="255"/>
    </row>
    <row r="61" spans="2:19" ht="16.2" hidden="1" customHeight="1" thickBot="1" x14ac:dyDescent="0.5">
      <c r="B61" s="254"/>
      <c r="C61" s="496" t="s">
        <v>460</v>
      </c>
      <c r="D61" s="496"/>
      <c r="E61" s="496"/>
      <c r="F61" s="496"/>
      <c r="G61" s="496"/>
      <c r="H61" s="496"/>
      <c r="I61" s="221"/>
      <c r="J61" s="221"/>
      <c r="K61" s="230"/>
      <c r="L61" s="230"/>
      <c r="M61" s="262">
        <v>0</v>
      </c>
      <c r="N61" s="255"/>
    </row>
    <row r="62" spans="2:19" ht="13.5" customHeight="1" x14ac:dyDescent="0.4">
      <c r="B62" s="251"/>
      <c r="C62" s="498" t="s">
        <v>457</v>
      </c>
      <c r="D62" s="498"/>
      <c r="E62" s="498"/>
      <c r="F62" s="498"/>
      <c r="G62" s="498"/>
      <c r="H62" s="498"/>
      <c r="I62" s="260"/>
      <c r="J62" s="260"/>
      <c r="K62" s="260"/>
      <c r="L62" s="485" t="s">
        <v>326</v>
      </c>
      <c r="M62" s="477">
        <f>SUM(M57:M61)</f>
        <v>64231.100000000006</v>
      </c>
      <c r="N62" s="253"/>
    </row>
    <row r="63" spans="2:19" ht="13.5" customHeight="1" thickBot="1" x14ac:dyDescent="0.45">
      <c r="B63" s="257"/>
      <c r="C63" s="499"/>
      <c r="D63" s="499"/>
      <c r="E63" s="499"/>
      <c r="F63" s="499"/>
      <c r="G63" s="499"/>
      <c r="H63" s="499"/>
      <c r="I63" s="258"/>
      <c r="J63" s="258"/>
      <c r="K63" s="258"/>
      <c r="L63" s="486"/>
      <c r="M63" s="478"/>
      <c r="N63" s="259"/>
    </row>
    <row r="64" spans="2:19" ht="13.5" customHeight="1" x14ac:dyDescent="0.4">
      <c r="C64" s="8"/>
      <c r="D64" s="8"/>
      <c r="E64" s="13"/>
      <c r="F64" s="13"/>
      <c r="G64" s="13"/>
      <c r="H64" s="13"/>
      <c r="I64" s="13"/>
      <c r="J64" s="13"/>
      <c r="K64" s="13"/>
      <c r="L64" s="13"/>
      <c r="M64" s="15"/>
      <c r="N64" s="8"/>
    </row>
    <row r="65" spans="3:14" ht="13.5" customHeight="1" x14ac:dyDescent="0.4">
      <c r="C65" s="8"/>
      <c r="D65" s="8"/>
      <c r="E65" s="13"/>
      <c r="F65" s="13"/>
      <c r="G65" s="13"/>
      <c r="H65" s="13"/>
      <c r="I65" s="13"/>
      <c r="J65" s="13"/>
      <c r="K65" s="13"/>
      <c r="L65" s="13"/>
      <c r="M65" s="15"/>
      <c r="N65" s="8"/>
    </row>
    <row r="66" spans="3:14" ht="13.5" customHeight="1" x14ac:dyDescent="0.4">
      <c r="C66" s="8"/>
      <c r="D66" s="8"/>
      <c r="E66" s="13"/>
      <c r="F66" s="13"/>
      <c r="G66" s="13"/>
      <c r="H66" s="13"/>
      <c r="I66" s="13"/>
      <c r="J66" s="13"/>
      <c r="K66" s="13"/>
      <c r="L66" s="13"/>
      <c r="M66" s="15"/>
      <c r="N66" s="8"/>
    </row>
    <row r="67" spans="3:14" ht="13.5" customHeight="1" x14ac:dyDescent="0.4">
      <c r="C67" s="237" t="s">
        <v>13</v>
      </c>
      <c r="D67" s="235"/>
      <c r="E67" s="235"/>
      <c r="F67" s="235"/>
      <c r="G67" s="237" t="s">
        <v>82</v>
      </c>
      <c r="H67" s="235"/>
      <c r="I67" s="237" t="s">
        <v>289</v>
      </c>
      <c r="J67" s="237"/>
      <c r="K67" s="235"/>
      <c r="L67" s="235"/>
      <c r="M67" s="235" t="s">
        <v>261</v>
      </c>
      <c r="N67" s="8"/>
    </row>
    <row r="68" spans="3:14" ht="13.5" customHeight="1" x14ac:dyDescent="0.4"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</row>
    <row r="69" spans="3:14" ht="20.149999999999999" customHeight="1" x14ac:dyDescent="0.4">
      <c r="C69" s="234" t="s">
        <v>290</v>
      </c>
      <c r="D69" s="235"/>
      <c r="E69" s="235"/>
      <c r="F69" s="235"/>
      <c r="G69" s="234" t="s">
        <v>14</v>
      </c>
      <c r="H69" s="235"/>
      <c r="I69" s="234" t="s">
        <v>17</v>
      </c>
      <c r="J69" s="234"/>
      <c r="K69" s="235"/>
      <c r="L69" s="235"/>
      <c r="M69" s="234" t="s">
        <v>8</v>
      </c>
      <c r="N69" s="8"/>
    </row>
    <row r="70" spans="3:14" ht="13.5" customHeight="1" x14ac:dyDescent="0.4">
      <c r="C70" s="19" t="s">
        <v>317</v>
      </c>
      <c r="D70" s="8"/>
      <c r="E70" s="8"/>
      <c r="F70" s="8"/>
      <c r="G70" s="19" t="s">
        <v>15</v>
      </c>
      <c r="H70" s="8"/>
      <c r="I70" s="19" t="s">
        <v>292</v>
      </c>
      <c r="J70" s="19"/>
      <c r="K70" s="8"/>
      <c r="L70" s="8"/>
      <c r="M70" s="19" t="s">
        <v>262</v>
      </c>
      <c r="N70" s="8"/>
    </row>
    <row r="71" spans="3:14" ht="13.5" customHeight="1" x14ac:dyDescent="0.4"/>
    <row r="72" spans="3:14" ht="13.5" customHeight="1" x14ac:dyDescent="0.4"/>
    <row r="73" spans="3:14" ht="13.5" customHeight="1" x14ac:dyDescent="0.4"/>
    <row r="74" spans="3:14" ht="13.5" customHeight="1" x14ac:dyDescent="0.4"/>
    <row r="75" spans="3:14" ht="13.5" customHeight="1" x14ac:dyDescent="0.4"/>
    <row r="76" spans="3:14" ht="13.5" customHeight="1" x14ac:dyDescent="0.4"/>
  </sheetData>
  <mergeCells count="20">
    <mergeCell ref="M62:M63"/>
    <mergeCell ref="C16:E16"/>
    <mergeCell ref="C27:I27"/>
    <mergeCell ref="E29:H29"/>
    <mergeCell ref="G40:I40"/>
    <mergeCell ref="C59:H59"/>
    <mergeCell ref="C60:H60"/>
    <mergeCell ref="C61:H61"/>
    <mergeCell ref="C62:H63"/>
    <mergeCell ref="L62:L63"/>
    <mergeCell ref="P54:Q54"/>
    <mergeCell ref="C57:H58"/>
    <mergeCell ref="L57:L58"/>
    <mergeCell ref="M57:M58"/>
    <mergeCell ref="C4:N4"/>
    <mergeCell ref="C5:M5"/>
    <mergeCell ref="C6:M6"/>
    <mergeCell ref="C7:M7"/>
    <mergeCell ref="C8:M8"/>
    <mergeCell ref="C14:E14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057329-DEA3-46D0-85AE-2C5CC8CC67FA}">
  <dimension ref="B2:M71"/>
  <sheetViews>
    <sheetView topLeftCell="A16" workbookViewId="0">
      <selection activeCell="D45" sqref="D45"/>
    </sheetView>
  </sheetViews>
  <sheetFormatPr defaultRowHeight="14.6" x14ac:dyDescent="0.4"/>
  <cols>
    <col min="1" max="1" width="2.3046875" customWidth="1"/>
    <col min="2" max="2" width="13.3046875" customWidth="1"/>
    <col min="3" max="3" width="4.84375" customWidth="1"/>
    <col min="4" max="4" width="12.3046875" customWidth="1"/>
    <col min="5" max="5" width="1.53515625" customWidth="1"/>
    <col min="6" max="6" width="22" customWidth="1"/>
    <col min="7" max="7" width="22.3046875" customWidth="1"/>
    <col min="8" max="8" width="23.3046875" hidden="1" customWidth="1"/>
    <col min="9" max="9" width="11.84375" customWidth="1"/>
    <col min="10" max="10" width="13.69140625" customWidth="1"/>
    <col min="11" max="11" width="12.3046875" customWidth="1"/>
    <col min="12" max="12" width="13.69140625" customWidth="1"/>
    <col min="13" max="13" width="11.53515625" customWidth="1"/>
  </cols>
  <sheetData>
    <row r="2" spans="2:12" x14ac:dyDescent="0.4">
      <c r="B2" s="246" t="s">
        <v>329</v>
      </c>
    </row>
    <row r="3" spans="2:12" x14ac:dyDescent="0.4">
      <c r="B3" s="246"/>
    </row>
    <row r="4" spans="2:12" x14ac:dyDescent="0.4">
      <c r="B4" s="246"/>
    </row>
    <row r="5" spans="2:12" x14ac:dyDescent="0.4">
      <c r="B5" s="246"/>
    </row>
    <row r="6" spans="2:12" x14ac:dyDescent="0.4">
      <c r="B6" s="246"/>
    </row>
    <row r="7" spans="2:12" ht="14.15" customHeight="1" x14ac:dyDescent="0.4">
      <c r="B7" s="468" t="s">
        <v>0</v>
      </c>
      <c r="C7" s="468"/>
      <c r="D7" s="468"/>
      <c r="E7" s="468"/>
      <c r="F7" s="468"/>
      <c r="G7" s="468"/>
      <c r="H7" s="468"/>
      <c r="I7" s="468"/>
      <c r="J7" s="468"/>
      <c r="K7" s="468"/>
      <c r="L7" s="468"/>
    </row>
    <row r="8" spans="2:12" ht="14.15" customHeight="1" x14ac:dyDescent="0.4">
      <c r="B8" s="19"/>
      <c r="C8" s="19"/>
      <c r="D8" s="19"/>
      <c r="E8" s="19"/>
      <c r="F8" s="19"/>
      <c r="G8" s="19" t="s">
        <v>18</v>
      </c>
      <c r="H8" s="19"/>
      <c r="I8" s="19"/>
      <c r="J8" s="19"/>
      <c r="K8" s="19"/>
      <c r="L8" s="1"/>
    </row>
    <row r="9" spans="2:12" ht="14.15" customHeight="1" x14ac:dyDescent="0.4">
      <c r="B9" s="8"/>
      <c r="C9" s="8"/>
      <c r="D9" s="8"/>
      <c r="E9" s="8"/>
      <c r="F9" s="473" t="s">
        <v>435</v>
      </c>
      <c r="G9" s="473"/>
      <c r="H9" s="473"/>
      <c r="I9" s="473"/>
      <c r="J9" s="473"/>
      <c r="K9" s="8"/>
    </row>
    <row r="10" spans="2:12" ht="14.15" customHeight="1" thickBot="1" x14ac:dyDescent="0.45">
      <c r="B10" s="8"/>
      <c r="C10" s="8"/>
      <c r="D10" s="8"/>
      <c r="E10" s="8"/>
      <c r="F10" s="8"/>
      <c r="G10" s="8"/>
      <c r="H10" s="8"/>
      <c r="I10" s="8"/>
      <c r="J10" s="8"/>
      <c r="K10" s="8"/>
    </row>
    <row r="11" spans="2:12" ht="21.75" customHeight="1" x14ac:dyDescent="0.4">
      <c r="B11" s="145"/>
      <c r="C11" s="146"/>
      <c r="D11" s="147"/>
      <c r="E11" s="146"/>
      <c r="F11" s="168"/>
      <c r="G11" s="464" t="s">
        <v>304</v>
      </c>
      <c r="H11" s="464" t="s">
        <v>299</v>
      </c>
      <c r="I11" s="464" t="s">
        <v>293</v>
      </c>
      <c r="J11" s="472" t="s">
        <v>301</v>
      </c>
      <c r="K11" s="472"/>
      <c r="L11" s="464" t="s">
        <v>296</v>
      </c>
    </row>
    <row r="12" spans="2:12" ht="30" customHeight="1" thickBot="1" x14ac:dyDescent="0.45">
      <c r="B12" s="148" t="s">
        <v>5</v>
      </c>
      <c r="C12" s="149"/>
      <c r="D12" s="150" t="s">
        <v>309</v>
      </c>
      <c r="E12" s="149"/>
      <c r="F12" s="169" t="s">
        <v>1</v>
      </c>
      <c r="G12" s="465"/>
      <c r="H12" s="465"/>
      <c r="I12" s="465"/>
      <c r="J12" s="156" t="s">
        <v>302</v>
      </c>
      <c r="K12" s="144" t="s">
        <v>303</v>
      </c>
      <c r="L12" s="465"/>
    </row>
    <row r="13" spans="2:12" ht="16.2" customHeight="1" x14ac:dyDescent="0.4">
      <c r="B13" s="137" t="s">
        <v>59</v>
      </c>
      <c r="C13" s="19"/>
      <c r="D13" s="155"/>
      <c r="E13" s="19"/>
      <c r="F13" s="170"/>
      <c r="G13" s="110"/>
      <c r="H13" s="110"/>
      <c r="I13" s="157"/>
      <c r="J13" s="178"/>
      <c r="K13" s="183"/>
      <c r="L13" s="186"/>
    </row>
    <row r="14" spans="2:12" ht="16.2" customHeight="1" x14ac:dyDescent="0.4">
      <c r="B14" s="138" t="s">
        <v>29</v>
      </c>
      <c r="C14" s="139" t="s">
        <v>245</v>
      </c>
      <c r="D14" s="140">
        <v>2680</v>
      </c>
      <c r="E14" s="141"/>
      <c r="F14" s="171" t="s">
        <v>437</v>
      </c>
      <c r="G14" s="158">
        <v>100</v>
      </c>
      <c r="H14" s="158"/>
      <c r="I14" s="140"/>
      <c r="J14" s="114"/>
      <c r="K14" s="184"/>
      <c r="L14" s="163"/>
    </row>
    <row r="15" spans="2:12" ht="16.2" customHeight="1" x14ac:dyDescent="0.4">
      <c r="B15" s="138" t="s">
        <v>29</v>
      </c>
      <c r="C15" s="141"/>
      <c r="D15" s="140">
        <v>2681</v>
      </c>
      <c r="E15" s="141"/>
      <c r="F15" s="172" t="s">
        <v>345</v>
      </c>
      <c r="G15" s="158">
        <v>100</v>
      </c>
      <c r="H15" s="158"/>
      <c r="I15" s="140"/>
      <c r="J15" s="114"/>
      <c r="K15" s="184"/>
      <c r="L15" s="163"/>
    </row>
    <row r="16" spans="2:12" ht="16.2" customHeight="1" x14ac:dyDescent="0.4">
      <c r="B16" s="138" t="s">
        <v>29</v>
      </c>
      <c r="C16" s="141"/>
      <c r="D16" s="140">
        <v>2682</v>
      </c>
      <c r="E16" s="141"/>
      <c r="F16" s="172" t="s">
        <v>41</v>
      </c>
      <c r="G16" s="158">
        <v>100</v>
      </c>
      <c r="H16" s="159"/>
      <c r="I16" s="160" t="s">
        <v>245</v>
      </c>
      <c r="J16" s="114" t="s">
        <v>245</v>
      </c>
      <c r="K16" s="185" t="s">
        <v>245</v>
      </c>
      <c r="L16" s="167" t="s">
        <v>245</v>
      </c>
    </row>
    <row r="17" spans="2:12" ht="16.2" customHeight="1" x14ac:dyDescent="0.4">
      <c r="B17" s="138" t="s">
        <v>29</v>
      </c>
      <c r="C17" s="141"/>
      <c r="D17" s="140">
        <v>2683</v>
      </c>
      <c r="E17" s="141"/>
      <c r="F17" s="172" t="s">
        <v>232</v>
      </c>
      <c r="G17" s="158">
        <v>100</v>
      </c>
      <c r="H17" s="159"/>
      <c r="I17" s="160"/>
      <c r="J17" s="114"/>
      <c r="K17" s="185"/>
      <c r="L17" s="167"/>
    </row>
    <row r="18" spans="2:12" ht="16.2" customHeight="1" x14ac:dyDescent="0.4">
      <c r="B18" s="138" t="s">
        <v>29</v>
      </c>
      <c r="C18" s="141"/>
      <c r="D18" s="140">
        <v>2684</v>
      </c>
      <c r="E18" s="141"/>
      <c r="F18" s="172" t="s">
        <v>403</v>
      </c>
      <c r="G18" s="158">
        <v>100</v>
      </c>
      <c r="H18" s="159"/>
      <c r="I18" s="160"/>
      <c r="J18" s="114"/>
      <c r="K18" s="185"/>
      <c r="L18" s="167"/>
    </row>
    <row r="19" spans="2:12" ht="16.2" customHeight="1" x14ac:dyDescent="0.4">
      <c r="B19" s="138" t="s">
        <v>29</v>
      </c>
      <c r="C19" s="141"/>
      <c r="D19" s="140">
        <v>2685</v>
      </c>
      <c r="E19" s="141"/>
      <c r="F19" s="172" t="s">
        <v>434</v>
      </c>
      <c r="G19" s="158">
        <v>200</v>
      </c>
      <c r="H19" s="159"/>
      <c r="I19" s="160"/>
      <c r="J19" s="114"/>
      <c r="K19" s="185"/>
      <c r="L19" s="167"/>
    </row>
    <row r="20" spans="2:12" ht="16.2" customHeight="1" x14ac:dyDescent="0.4">
      <c r="B20" s="138" t="s">
        <v>29</v>
      </c>
      <c r="C20" s="141"/>
      <c r="D20" s="140">
        <v>2686</v>
      </c>
      <c r="E20" s="141"/>
      <c r="F20" s="172" t="s">
        <v>33</v>
      </c>
      <c r="G20" s="158">
        <v>100</v>
      </c>
      <c r="H20" s="159"/>
      <c r="I20" s="160"/>
      <c r="J20" s="114"/>
      <c r="K20" s="185"/>
      <c r="L20" s="167"/>
    </row>
    <row r="21" spans="2:12" ht="16.2" customHeight="1" x14ac:dyDescent="0.4">
      <c r="B21" s="138" t="s">
        <v>29</v>
      </c>
      <c r="C21" s="141"/>
      <c r="D21" s="140">
        <v>2687</v>
      </c>
      <c r="E21" s="141"/>
      <c r="F21" s="172" t="s">
        <v>438</v>
      </c>
      <c r="G21" s="158">
        <v>100</v>
      </c>
      <c r="H21" s="159"/>
      <c r="I21" s="160"/>
      <c r="J21" s="114"/>
      <c r="K21" s="185"/>
      <c r="L21" s="167"/>
    </row>
    <row r="22" spans="2:12" ht="16.2" customHeight="1" x14ac:dyDescent="0.4">
      <c r="B22" s="138" t="s">
        <v>29</v>
      </c>
      <c r="C22" s="141"/>
      <c r="D22" s="140">
        <v>2688</v>
      </c>
      <c r="E22" s="141"/>
      <c r="F22" s="172" t="s">
        <v>190</v>
      </c>
      <c r="G22" s="158">
        <v>20</v>
      </c>
      <c r="H22" s="159"/>
      <c r="I22" s="160"/>
      <c r="J22" s="114"/>
      <c r="K22" s="185"/>
      <c r="L22" s="167"/>
    </row>
    <row r="23" spans="2:12" ht="16.2" customHeight="1" x14ac:dyDescent="0.4">
      <c r="B23" s="138" t="s">
        <v>29</v>
      </c>
      <c r="C23" s="141"/>
      <c r="D23" s="140">
        <v>2689</v>
      </c>
      <c r="E23" s="141"/>
      <c r="F23" s="172" t="s">
        <v>179</v>
      </c>
      <c r="G23" s="158">
        <v>150</v>
      </c>
      <c r="H23" s="159"/>
      <c r="I23" s="160"/>
      <c r="J23" s="114"/>
      <c r="K23" s="185"/>
      <c r="L23" s="167"/>
    </row>
    <row r="24" spans="2:12" ht="16.2" customHeight="1" x14ac:dyDescent="0.4">
      <c r="B24" s="138" t="s">
        <v>29</v>
      </c>
      <c r="C24" s="141"/>
      <c r="D24" s="140">
        <v>2690</v>
      </c>
      <c r="E24" s="141"/>
      <c r="F24" s="172" t="s">
        <v>201</v>
      </c>
      <c r="G24" s="158">
        <v>50</v>
      </c>
      <c r="H24" s="159"/>
      <c r="I24" s="160"/>
      <c r="J24" s="114"/>
      <c r="K24" s="185"/>
      <c r="L24" s="167"/>
    </row>
    <row r="25" spans="2:12" ht="18" customHeight="1" x14ac:dyDescent="0.4">
      <c r="B25" s="154" t="s">
        <v>307</v>
      </c>
      <c r="D25" s="111"/>
      <c r="F25" s="109"/>
      <c r="G25" s="161">
        <f>SUM(G14:G24)</f>
        <v>1120</v>
      </c>
      <c r="H25" s="161"/>
      <c r="I25" s="162">
        <f>G25-J25</f>
        <v>120</v>
      </c>
      <c r="J25" s="114">
        <v>1000</v>
      </c>
      <c r="K25" s="185">
        <v>0</v>
      </c>
      <c r="L25" s="198">
        <f>J25+K25</f>
        <v>1000</v>
      </c>
    </row>
    <row r="26" spans="2:12" ht="16.2" customHeight="1" x14ac:dyDescent="0.4">
      <c r="B26" s="138">
        <v>16</v>
      </c>
      <c r="C26" s="141"/>
      <c r="D26" s="140">
        <v>2691</v>
      </c>
      <c r="E26" s="141"/>
      <c r="F26" s="172" t="s">
        <v>14</v>
      </c>
      <c r="G26" s="158">
        <v>100</v>
      </c>
      <c r="H26" s="159"/>
      <c r="I26" s="140"/>
      <c r="J26" s="114"/>
      <c r="K26" s="185"/>
      <c r="L26" s="166" t="s">
        <v>245</v>
      </c>
    </row>
    <row r="27" spans="2:12" ht="16.2" customHeight="1" x14ac:dyDescent="0.4">
      <c r="B27" s="138">
        <v>16</v>
      </c>
      <c r="C27" s="141"/>
      <c r="D27" s="140">
        <v>2692</v>
      </c>
      <c r="E27" s="141"/>
      <c r="F27" s="172" t="s">
        <v>345</v>
      </c>
      <c r="G27" s="158">
        <v>100</v>
      </c>
      <c r="H27" s="159"/>
      <c r="I27" s="140"/>
      <c r="J27" s="114"/>
      <c r="K27" s="185"/>
      <c r="L27" s="166"/>
    </row>
    <row r="28" spans="2:12" ht="16.2" customHeight="1" x14ac:dyDescent="0.4">
      <c r="B28" s="138">
        <v>16</v>
      </c>
      <c r="C28" s="141"/>
      <c r="D28" s="140">
        <v>2693</v>
      </c>
      <c r="E28" s="141"/>
      <c r="F28" s="172" t="s">
        <v>434</v>
      </c>
      <c r="G28" s="158">
        <v>200</v>
      </c>
      <c r="H28" s="159"/>
      <c r="I28" s="140"/>
      <c r="J28" s="114"/>
      <c r="K28" s="185"/>
      <c r="L28" s="166"/>
    </row>
    <row r="29" spans="2:12" ht="16.2" customHeight="1" x14ac:dyDescent="0.4">
      <c r="B29" s="138">
        <v>16</v>
      </c>
      <c r="C29" s="141"/>
      <c r="D29" s="140">
        <v>2694</v>
      </c>
      <c r="E29" s="141"/>
      <c r="F29" s="172" t="s">
        <v>409</v>
      </c>
      <c r="G29" s="158">
        <v>100</v>
      </c>
      <c r="H29" s="159"/>
      <c r="I29" s="140"/>
      <c r="J29" s="114"/>
      <c r="K29" s="185"/>
      <c r="L29" s="166"/>
    </row>
    <row r="30" spans="2:12" ht="16.2" customHeight="1" x14ac:dyDescent="0.4">
      <c r="B30" s="138">
        <v>16</v>
      </c>
      <c r="C30" s="141"/>
      <c r="D30" s="140">
        <v>2695</v>
      </c>
      <c r="E30" s="141"/>
      <c r="F30" s="172" t="s">
        <v>403</v>
      </c>
      <c r="G30" s="158">
        <v>100</v>
      </c>
      <c r="H30" s="159"/>
      <c r="I30" s="140"/>
      <c r="J30" s="114"/>
      <c r="K30" s="185"/>
      <c r="L30" s="166"/>
    </row>
    <row r="31" spans="2:12" ht="16.2" customHeight="1" x14ac:dyDescent="0.4">
      <c r="B31" s="138">
        <v>16</v>
      </c>
      <c r="C31" s="141"/>
      <c r="D31" s="140">
        <v>2696</v>
      </c>
      <c r="E31" s="141"/>
      <c r="F31" s="172" t="s">
        <v>382</v>
      </c>
      <c r="G31" s="158">
        <v>100</v>
      </c>
      <c r="H31" s="159"/>
      <c r="I31" s="140"/>
      <c r="J31" s="114"/>
      <c r="K31" s="185"/>
      <c r="L31" s="166"/>
    </row>
    <row r="32" spans="2:12" ht="16.2" customHeight="1" x14ac:dyDescent="0.4">
      <c r="B32" s="138">
        <v>16</v>
      </c>
      <c r="C32" s="141"/>
      <c r="D32" s="140">
        <v>2697</v>
      </c>
      <c r="E32" s="141"/>
      <c r="F32" s="172" t="s">
        <v>238</v>
      </c>
      <c r="G32" s="158">
        <v>50</v>
      </c>
      <c r="H32" s="159"/>
      <c r="I32" s="140"/>
      <c r="J32" s="114"/>
      <c r="K32" s="185"/>
      <c r="L32" s="166"/>
    </row>
    <row r="33" spans="2:13" ht="16.2" customHeight="1" x14ac:dyDescent="0.4">
      <c r="B33" s="138">
        <v>16</v>
      </c>
      <c r="C33" s="141"/>
      <c r="D33" s="140">
        <v>2698</v>
      </c>
      <c r="E33" s="141"/>
      <c r="F33" s="172" t="s">
        <v>380</v>
      </c>
      <c r="G33" s="158">
        <v>100</v>
      </c>
      <c r="H33" s="159"/>
      <c r="I33" s="140"/>
      <c r="J33" s="114"/>
      <c r="K33" s="185"/>
      <c r="L33" s="166"/>
    </row>
    <row r="34" spans="2:13" ht="16.2" customHeight="1" x14ac:dyDescent="0.4">
      <c r="B34" s="154" t="s">
        <v>307</v>
      </c>
      <c r="C34" s="141"/>
      <c r="D34" s="140"/>
      <c r="E34" s="141"/>
      <c r="F34" s="172"/>
      <c r="G34" s="289">
        <f>SUM(G26:G33)</f>
        <v>850</v>
      </c>
      <c r="H34" s="159"/>
      <c r="I34" s="162">
        <f>G34-J34</f>
        <v>0</v>
      </c>
      <c r="J34" s="114">
        <v>850</v>
      </c>
      <c r="K34" s="185">
        <v>150</v>
      </c>
      <c r="L34" s="198">
        <f>J34+K34</f>
        <v>1000</v>
      </c>
    </row>
    <row r="35" spans="2:13" ht="16.2" customHeight="1" x14ac:dyDescent="0.4">
      <c r="B35" s="138">
        <v>23</v>
      </c>
      <c r="C35" s="141"/>
      <c r="D35" s="140">
        <v>2699</v>
      </c>
      <c r="E35" s="141"/>
      <c r="F35" s="172" t="s">
        <v>434</v>
      </c>
      <c r="G35" s="158">
        <v>200</v>
      </c>
      <c r="H35" s="159"/>
      <c r="I35" s="140"/>
      <c r="J35" s="114"/>
      <c r="K35" s="185"/>
      <c r="L35" s="166"/>
    </row>
    <row r="36" spans="2:13" ht="16.2" customHeight="1" x14ac:dyDescent="0.4">
      <c r="B36" s="138">
        <v>23</v>
      </c>
      <c r="C36" s="141"/>
      <c r="D36" s="140">
        <v>2700</v>
      </c>
      <c r="E36" s="141"/>
      <c r="F36" s="172" t="s">
        <v>33</v>
      </c>
      <c r="G36" s="158">
        <v>100</v>
      </c>
      <c r="H36" s="159"/>
      <c r="I36" s="140"/>
      <c r="J36" s="114"/>
      <c r="K36" s="185"/>
      <c r="L36" s="166"/>
    </row>
    <row r="37" spans="2:13" ht="16.2" customHeight="1" x14ac:dyDescent="0.4">
      <c r="B37" s="138">
        <v>23</v>
      </c>
      <c r="C37" s="141"/>
      <c r="D37" s="140">
        <v>2701</v>
      </c>
      <c r="E37" s="141"/>
      <c r="F37" s="172" t="s">
        <v>179</v>
      </c>
      <c r="G37" s="158">
        <v>100</v>
      </c>
      <c r="H37" s="159"/>
      <c r="I37" s="140"/>
      <c r="J37" s="114"/>
      <c r="K37" s="185"/>
      <c r="L37" s="166"/>
    </row>
    <row r="38" spans="2:13" ht="16.2" customHeight="1" x14ac:dyDescent="0.4">
      <c r="B38" s="138">
        <v>23</v>
      </c>
      <c r="C38" s="141"/>
      <c r="D38" s="140">
        <v>2702</v>
      </c>
      <c r="E38" s="141"/>
      <c r="F38" s="172" t="s">
        <v>403</v>
      </c>
      <c r="G38" s="158">
        <v>100</v>
      </c>
      <c r="H38" s="159"/>
      <c r="I38" s="140"/>
      <c r="J38" s="114"/>
      <c r="K38" s="185"/>
      <c r="L38" s="166"/>
    </row>
    <row r="39" spans="2:13" ht="16.2" customHeight="1" x14ac:dyDescent="0.4">
      <c r="B39" s="138">
        <v>23</v>
      </c>
      <c r="C39" s="141"/>
      <c r="D39" s="140" t="s">
        <v>399</v>
      </c>
      <c r="E39" s="141"/>
      <c r="F39" s="305" t="s">
        <v>386</v>
      </c>
      <c r="G39" s="158">
        <v>200</v>
      </c>
      <c r="H39" s="159"/>
      <c r="I39" s="140"/>
      <c r="J39" s="114"/>
      <c r="K39" s="185"/>
      <c r="L39" s="166"/>
    </row>
    <row r="40" spans="2:13" ht="18" customHeight="1" x14ac:dyDescent="0.45">
      <c r="B40" s="154" t="s">
        <v>307</v>
      </c>
      <c r="D40" s="111"/>
      <c r="F40" s="298"/>
      <c r="G40" s="306">
        <f>SUM(G35:G39)</f>
        <v>700</v>
      </c>
      <c r="H40" s="306"/>
      <c r="I40" s="162">
        <f>G40-J40</f>
        <v>0</v>
      </c>
      <c r="J40" s="142">
        <v>700</v>
      </c>
      <c r="K40" s="185">
        <v>300</v>
      </c>
      <c r="L40" s="198">
        <f>J40+K40</f>
        <v>1000</v>
      </c>
      <c r="M40" s="135"/>
    </row>
    <row r="41" spans="2:13" ht="16.2" customHeight="1" x14ac:dyDescent="0.4">
      <c r="B41" s="138">
        <v>30</v>
      </c>
      <c r="C41" s="141"/>
      <c r="D41" s="140">
        <v>2703</v>
      </c>
      <c r="E41" s="141"/>
      <c r="F41" s="172" t="s">
        <v>433</v>
      </c>
      <c r="G41" s="275">
        <v>100</v>
      </c>
      <c r="H41" s="159"/>
      <c r="I41" s="140"/>
      <c r="J41" s="179"/>
      <c r="K41" s="185"/>
      <c r="L41" s="199"/>
    </row>
    <row r="42" spans="2:13" ht="16.2" customHeight="1" x14ac:dyDescent="0.4">
      <c r="B42" s="138">
        <v>30</v>
      </c>
      <c r="C42" s="141"/>
      <c r="D42" s="140">
        <v>2704</v>
      </c>
      <c r="E42" s="141"/>
      <c r="F42" s="172" t="s">
        <v>232</v>
      </c>
      <c r="G42" s="275">
        <v>100</v>
      </c>
      <c r="H42" s="159"/>
      <c r="I42" s="140"/>
      <c r="J42" s="179"/>
      <c r="K42" s="185"/>
      <c r="L42" s="199"/>
    </row>
    <row r="43" spans="2:13" ht="16.2" customHeight="1" x14ac:dyDescent="0.4">
      <c r="B43" s="138">
        <v>30</v>
      </c>
      <c r="C43" s="141"/>
      <c r="D43" s="140">
        <v>2705</v>
      </c>
      <c r="E43" s="141"/>
      <c r="F43" s="172" t="s">
        <v>85</v>
      </c>
      <c r="G43" s="275">
        <v>100</v>
      </c>
      <c r="H43" s="159"/>
      <c r="I43" s="140"/>
      <c r="J43" s="179"/>
      <c r="K43" s="185"/>
      <c r="L43" s="199"/>
    </row>
    <row r="44" spans="2:13" ht="16.2" customHeight="1" x14ac:dyDescent="0.4">
      <c r="B44" s="138">
        <v>30</v>
      </c>
      <c r="C44" s="141"/>
      <c r="D44" s="140">
        <v>2706</v>
      </c>
      <c r="E44" s="141"/>
      <c r="F44" s="172" t="s">
        <v>41</v>
      </c>
      <c r="G44" s="275">
        <v>100</v>
      </c>
      <c r="H44" s="159"/>
      <c r="I44" s="140"/>
      <c r="J44" s="142"/>
      <c r="K44" s="185"/>
      <c r="L44" s="199"/>
    </row>
    <row r="45" spans="2:13" ht="16.2" customHeight="1" x14ac:dyDescent="0.4">
      <c r="B45" s="138">
        <v>30</v>
      </c>
      <c r="C45" s="141"/>
      <c r="D45" s="140">
        <v>2707</v>
      </c>
      <c r="E45" s="141"/>
      <c r="F45" s="172" t="s">
        <v>410</v>
      </c>
      <c r="G45" s="275">
        <v>100</v>
      </c>
      <c r="H45" s="159"/>
      <c r="I45" s="140"/>
      <c r="J45" s="142"/>
      <c r="K45" s="185"/>
      <c r="L45" s="199"/>
    </row>
    <row r="46" spans="2:13" ht="16.2" customHeight="1" x14ac:dyDescent="0.4">
      <c r="B46" s="138">
        <v>30</v>
      </c>
      <c r="C46" s="141"/>
      <c r="D46" s="140">
        <v>2708</v>
      </c>
      <c r="E46" s="141"/>
      <c r="F46" s="305" t="s">
        <v>461</v>
      </c>
      <c r="G46" s="275">
        <v>0</v>
      </c>
      <c r="H46" s="159"/>
      <c r="I46" s="140"/>
      <c r="J46" s="142"/>
      <c r="K46" s="185"/>
      <c r="L46" s="199"/>
    </row>
    <row r="47" spans="2:13" ht="16.2" customHeight="1" x14ac:dyDescent="0.4">
      <c r="B47" s="138">
        <v>30</v>
      </c>
      <c r="C47" s="141"/>
      <c r="D47" s="140">
        <v>2709</v>
      </c>
      <c r="E47" s="141"/>
      <c r="F47" s="172" t="s">
        <v>434</v>
      </c>
      <c r="G47" s="275">
        <v>200</v>
      </c>
      <c r="H47" s="159"/>
      <c r="I47" s="140"/>
      <c r="J47" s="142"/>
      <c r="K47" s="185"/>
      <c r="L47" s="199"/>
    </row>
    <row r="48" spans="2:13" ht="16.2" customHeight="1" x14ac:dyDescent="0.4">
      <c r="B48" s="138">
        <v>30</v>
      </c>
      <c r="C48" s="141"/>
      <c r="D48" s="140">
        <v>2710</v>
      </c>
      <c r="E48" s="141"/>
      <c r="F48" s="172" t="s">
        <v>97</v>
      </c>
      <c r="G48" s="275">
        <v>300</v>
      </c>
      <c r="H48" s="159"/>
      <c r="I48" s="140" t="s">
        <v>245</v>
      </c>
      <c r="J48" s="179"/>
      <c r="K48" s="185"/>
      <c r="L48" s="199"/>
    </row>
    <row r="49" spans="2:12" ht="18" customHeight="1" thickBot="1" x14ac:dyDescent="0.45">
      <c r="B49" s="154" t="s">
        <v>307</v>
      </c>
      <c r="D49" s="111"/>
      <c r="F49" s="109"/>
      <c r="G49" s="167">
        <f>SUM(G41:G48)</f>
        <v>1000</v>
      </c>
      <c r="H49" s="167"/>
      <c r="I49" s="162">
        <f>G49-J49</f>
        <v>0</v>
      </c>
      <c r="J49" s="180">
        <v>1000</v>
      </c>
      <c r="K49" s="181">
        <v>0</v>
      </c>
      <c r="L49" s="198">
        <f>J49+K49</f>
        <v>1000</v>
      </c>
    </row>
    <row r="50" spans="2:12" ht="22.2" customHeight="1" thickBot="1" x14ac:dyDescent="0.45">
      <c r="B50" s="194" t="s">
        <v>297</v>
      </c>
      <c r="C50" s="195"/>
      <c r="D50" s="196"/>
      <c r="E50" s="197"/>
      <c r="F50" s="195"/>
      <c r="G50" s="200">
        <f>G25+G34+G40+G49</f>
        <v>3670</v>
      </c>
      <c r="H50" s="200"/>
      <c r="I50" s="200">
        <f>I25+I40+I34+I49</f>
        <v>120</v>
      </c>
      <c r="J50" s="200">
        <f>J25+J34+J40+J49</f>
        <v>3550</v>
      </c>
      <c r="K50" s="200">
        <f>K25+K34+K40+K49</f>
        <v>450</v>
      </c>
      <c r="L50" s="200">
        <f>L25+L34+L40+L49</f>
        <v>4000</v>
      </c>
    </row>
    <row r="51" spans="2:12" ht="16.2" customHeight="1" x14ac:dyDescent="0.4">
      <c r="B51" s="9"/>
      <c r="C51" s="8"/>
      <c r="D51" s="19"/>
      <c r="E51" s="19"/>
      <c r="F51" s="8"/>
      <c r="G51" s="10"/>
      <c r="H51" s="10"/>
      <c r="I51" s="14" t="s">
        <v>245</v>
      </c>
      <c r="J51" s="14" t="s">
        <v>245</v>
      </c>
      <c r="K51" s="12"/>
      <c r="L51" s="15" t="s">
        <v>245</v>
      </c>
    </row>
    <row r="52" spans="2:12" ht="16.2" customHeight="1" x14ac:dyDescent="0.4">
      <c r="B52" s="9"/>
      <c r="C52" s="8"/>
      <c r="D52" s="19"/>
      <c r="E52" s="19"/>
      <c r="F52" s="8"/>
      <c r="G52" s="10"/>
      <c r="H52" s="10"/>
      <c r="I52" s="14" t="s">
        <v>245</v>
      </c>
      <c r="J52" s="14"/>
      <c r="K52" s="12"/>
      <c r="L52" s="15"/>
    </row>
    <row r="53" spans="2:12" ht="14.15" customHeight="1" x14ac:dyDescent="0.4">
      <c r="B53" s="9"/>
      <c r="C53" s="8"/>
      <c r="D53" s="19"/>
      <c r="E53" s="19"/>
      <c r="F53" s="8"/>
      <c r="G53" s="10"/>
      <c r="H53" s="10"/>
      <c r="I53" s="14"/>
      <c r="J53" s="14"/>
      <c r="K53" s="12"/>
      <c r="L53" s="15"/>
    </row>
    <row r="54" spans="2:12" ht="14.15" customHeight="1" x14ac:dyDescent="0.4">
      <c r="B54" s="8"/>
      <c r="C54" s="8"/>
      <c r="D54" s="8" t="s">
        <v>245</v>
      </c>
      <c r="E54" s="8"/>
      <c r="F54" s="8"/>
      <c r="G54" s="8"/>
      <c r="H54" s="8"/>
      <c r="I54" s="8"/>
      <c r="J54" s="8"/>
      <c r="K54" s="8"/>
    </row>
    <row r="55" spans="2:12" ht="14.15" customHeight="1" x14ac:dyDescent="0.4">
      <c r="B55" s="8"/>
      <c r="C55" s="8"/>
      <c r="D55" s="19" t="s">
        <v>245</v>
      </c>
      <c r="E55" s="8"/>
      <c r="F55" s="19" t="s">
        <v>245</v>
      </c>
      <c r="G55" s="8"/>
      <c r="H55" s="8"/>
      <c r="I55" s="8"/>
      <c r="J55" s="8"/>
      <c r="K55" s="8"/>
    </row>
    <row r="56" spans="2:12" ht="14.15" customHeight="1" x14ac:dyDescent="0.4">
      <c r="B56" s="8"/>
      <c r="C56" s="8"/>
      <c r="D56" s="8"/>
      <c r="E56" s="8"/>
      <c r="F56" s="19"/>
      <c r="G56" s="8"/>
      <c r="H56" s="8"/>
      <c r="I56" s="8"/>
      <c r="J56" s="8"/>
      <c r="K56" s="8"/>
    </row>
    <row r="57" spans="2:12" ht="14.15" customHeight="1" x14ac:dyDescent="0.4">
      <c r="B57" s="8"/>
      <c r="C57" s="8"/>
      <c r="D57" s="8"/>
      <c r="E57" s="8"/>
      <c r="F57" s="19"/>
      <c r="G57" s="8"/>
      <c r="H57" s="8"/>
      <c r="I57" s="8"/>
      <c r="J57" s="8"/>
      <c r="K57" s="8"/>
    </row>
    <row r="58" spans="2:12" ht="14.15" customHeight="1" x14ac:dyDescent="0.4">
      <c r="B58" s="8"/>
      <c r="C58" s="8"/>
      <c r="D58" s="8"/>
      <c r="E58" s="8"/>
      <c r="F58" s="19"/>
      <c r="G58" s="8"/>
      <c r="H58" s="8"/>
      <c r="I58" s="8"/>
      <c r="J58" s="8"/>
      <c r="K58" s="8"/>
    </row>
    <row r="59" spans="2:12" ht="14.15" customHeight="1" x14ac:dyDescent="0.4">
      <c r="B59" s="267" t="s">
        <v>436</v>
      </c>
      <c r="C59" s="267"/>
      <c r="D59" s="267"/>
      <c r="E59" s="267"/>
      <c r="F59" s="19"/>
      <c r="G59" s="8"/>
      <c r="H59" s="8"/>
      <c r="I59" s="8"/>
      <c r="J59" s="8"/>
      <c r="K59" s="8"/>
    </row>
    <row r="60" spans="2:12" ht="14.15" customHeight="1" thickBot="1" x14ac:dyDescent="0.45">
      <c r="B60" s="19" t="s">
        <v>245</v>
      </c>
      <c r="C60" s="8"/>
      <c r="D60" s="8"/>
      <c r="E60" s="8"/>
      <c r="F60" s="19"/>
      <c r="G60" s="19"/>
      <c r="H60" s="19"/>
      <c r="I60" s="19"/>
      <c r="J60" s="19"/>
      <c r="K60" s="19"/>
    </row>
    <row r="61" spans="2:12" ht="18" customHeight="1" thickBot="1" x14ac:dyDescent="0.45">
      <c r="B61" s="469" t="s">
        <v>311</v>
      </c>
      <c r="C61" s="470"/>
      <c r="D61" s="470"/>
      <c r="E61" s="471"/>
      <c r="F61" s="209" t="s">
        <v>123</v>
      </c>
      <c r="G61" s="19"/>
      <c r="H61" s="19"/>
      <c r="I61" s="19"/>
      <c r="J61" s="19"/>
      <c r="K61" s="19"/>
    </row>
    <row r="62" spans="2:12" ht="15" customHeight="1" x14ac:dyDescent="0.4">
      <c r="B62" s="276" t="s">
        <v>59</v>
      </c>
      <c r="C62" s="277" t="s">
        <v>29</v>
      </c>
      <c r="D62" s="277" t="s">
        <v>245</v>
      </c>
      <c r="E62" s="277"/>
      <c r="F62" s="278">
        <v>1000</v>
      </c>
      <c r="G62" s="41"/>
      <c r="H62" s="41"/>
      <c r="I62" s="8"/>
      <c r="J62" s="201"/>
      <c r="K62" s="8"/>
    </row>
    <row r="63" spans="2:12" ht="15" customHeight="1" x14ac:dyDescent="0.4">
      <c r="B63" s="279" t="s">
        <v>59</v>
      </c>
      <c r="C63" s="280">
        <v>16</v>
      </c>
      <c r="D63" s="280" t="s">
        <v>245</v>
      </c>
      <c r="E63" s="280"/>
      <c r="F63" s="282">
        <v>1000</v>
      </c>
      <c r="G63" s="10"/>
      <c r="H63" s="10"/>
      <c r="I63" s="10"/>
      <c r="J63" s="202"/>
      <c r="K63" s="10"/>
    </row>
    <row r="64" spans="2:12" ht="15" customHeight="1" x14ac:dyDescent="0.4">
      <c r="B64" s="279" t="s">
        <v>59</v>
      </c>
      <c r="C64" s="280">
        <v>23</v>
      </c>
      <c r="D64" s="280" t="s">
        <v>245</v>
      </c>
      <c r="E64" s="280"/>
      <c r="F64" s="282">
        <v>1000</v>
      </c>
      <c r="G64" s="10"/>
      <c r="H64" s="10"/>
      <c r="I64" s="10"/>
      <c r="J64" s="201"/>
      <c r="K64" s="8"/>
    </row>
    <row r="65" spans="2:11" ht="15" customHeight="1" thickBot="1" x14ac:dyDescent="0.45">
      <c r="B65" s="285" t="s">
        <v>59</v>
      </c>
      <c r="C65" s="283">
        <v>30</v>
      </c>
      <c r="D65" s="283" t="s">
        <v>245</v>
      </c>
      <c r="E65" s="283"/>
      <c r="F65" s="284">
        <v>1000</v>
      </c>
      <c r="G65" s="10"/>
      <c r="H65" s="10"/>
      <c r="I65" s="10"/>
      <c r="J65" s="201"/>
      <c r="K65" s="10"/>
    </row>
    <row r="66" spans="2:11" ht="8.15" customHeight="1" x14ac:dyDescent="0.4">
      <c r="B66" s="210"/>
      <c r="C66" s="211"/>
      <c r="D66" s="212" t="s">
        <v>245</v>
      </c>
      <c r="E66" s="212"/>
      <c r="F66" s="213"/>
      <c r="G66" s="10"/>
      <c r="H66" s="10"/>
      <c r="I66" s="21"/>
      <c r="J66" s="201"/>
      <c r="K66" s="10"/>
    </row>
    <row r="67" spans="2:11" ht="14.15" customHeight="1" thickBot="1" x14ac:dyDescent="0.45">
      <c r="B67" s="466" t="s">
        <v>296</v>
      </c>
      <c r="C67" s="467"/>
      <c r="D67" s="467"/>
      <c r="E67" s="214"/>
      <c r="F67" s="215">
        <f>SUM(F62:F65)</f>
        <v>4000</v>
      </c>
      <c r="G67" s="10"/>
      <c r="H67" s="10"/>
      <c r="I67" s="21"/>
      <c r="J67" s="203"/>
      <c r="K67" s="10"/>
    </row>
    <row r="68" spans="2:11" ht="15.45" x14ac:dyDescent="0.4">
      <c r="B68" s="26"/>
      <c r="C68" s="8"/>
      <c r="D68" s="8"/>
      <c r="E68" s="8"/>
      <c r="F68" s="8"/>
      <c r="G68" s="10"/>
      <c r="H68" s="10"/>
      <c r="I68" s="27"/>
      <c r="J68" s="27"/>
      <c r="K68" s="10"/>
    </row>
    <row r="69" spans="2:11" ht="15.45" x14ac:dyDescent="0.4">
      <c r="B69" s="25"/>
      <c r="C69" s="8"/>
      <c r="D69" s="8"/>
      <c r="E69" s="8"/>
      <c r="F69" s="8"/>
      <c r="G69" s="41"/>
      <c r="H69" s="41"/>
      <c r="I69" s="21"/>
      <c r="J69" s="27"/>
      <c r="K69" s="10"/>
    </row>
    <row r="70" spans="2:11" ht="15.45" x14ac:dyDescent="0.4">
      <c r="B70" s="26"/>
      <c r="C70" s="8"/>
      <c r="D70" s="6"/>
      <c r="E70" s="6"/>
      <c r="F70" s="8"/>
      <c r="G70" s="10"/>
      <c r="H70" s="10"/>
      <c r="I70" s="10"/>
      <c r="J70" s="8"/>
      <c r="K70" s="10"/>
    </row>
    <row r="71" spans="2:11" ht="15.45" x14ac:dyDescent="0.4">
      <c r="F71" s="8"/>
      <c r="I71" s="27"/>
    </row>
  </sheetData>
  <mergeCells count="9">
    <mergeCell ref="B61:E61"/>
    <mergeCell ref="B67:D67"/>
    <mergeCell ref="B7:L7"/>
    <mergeCell ref="F9:J9"/>
    <mergeCell ref="G11:G12"/>
    <mergeCell ref="H11:H12"/>
    <mergeCell ref="I11:I12"/>
    <mergeCell ref="J11:K11"/>
    <mergeCell ref="L11:L1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5FBC3E-4274-415B-849D-D80AC6D51B57}">
  <dimension ref="B1:S77"/>
  <sheetViews>
    <sheetView topLeftCell="A37" workbookViewId="0">
      <selection activeCell="M63" sqref="M63:M64"/>
    </sheetView>
  </sheetViews>
  <sheetFormatPr defaultRowHeight="14.6" x14ac:dyDescent="0.4"/>
  <cols>
    <col min="1" max="1" width="3.3046875" customWidth="1"/>
    <col min="2" max="2" width="1.3046875" customWidth="1"/>
    <col min="3" max="3" width="16.69140625" customWidth="1"/>
    <col min="4" max="4" width="0.53515625" customWidth="1"/>
    <col min="6" max="6" width="0.84375" customWidth="1"/>
    <col min="7" max="7" width="12" customWidth="1"/>
    <col min="8" max="8" width="19.07421875" customWidth="1"/>
    <col min="9" max="9" width="16.53515625" customWidth="1"/>
    <col min="10" max="10" width="13.07421875" customWidth="1"/>
    <col min="11" max="11" width="16.07421875" customWidth="1"/>
    <col min="12" max="12" width="3" customWidth="1"/>
    <col min="13" max="13" width="18.3046875" customWidth="1"/>
    <col min="14" max="14" width="1" customWidth="1"/>
    <col min="15" max="15" width="12.84375" customWidth="1"/>
    <col min="16" max="16" width="9.53515625" bestFit="1" customWidth="1"/>
    <col min="17" max="17" width="9.84375" customWidth="1"/>
  </cols>
  <sheetData>
    <row r="1" spans="3:15" ht="6" customHeight="1" x14ac:dyDescent="0.4"/>
    <row r="2" spans="3:15" ht="6" customHeight="1" x14ac:dyDescent="0.4"/>
    <row r="3" spans="3:15" ht="6" customHeight="1" x14ac:dyDescent="0.4"/>
    <row r="4" spans="3:15" ht="20.149999999999999" customHeight="1" x14ac:dyDescent="0.4">
      <c r="C4" s="476" t="s">
        <v>0</v>
      </c>
      <c r="D4" s="476"/>
      <c r="E4" s="476"/>
      <c r="F4" s="476"/>
      <c r="G4" s="476"/>
      <c r="H4" s="476"/>
      <c r="I4" s="476"/>
      <c r="J4" s="476"/>
      <c r="K4" s="476"/>
      <c r="L4" s="476"/>
      <c r="M4" s="476"/>
      <c r="N4" s="476"/>
    </row>
    <row r="5" spans="3:15" ht="20.149999999999999" customHeight="1" x14ac:dyDescent="0.45">
      <c r="C5" s="492" t="s">
        <v>333</v>
      </c>
      <c r="D5" s="492"/>
      <c r="E5" s="492"/>
      <c r="F5" s="492"/>
      <c r="G5" s="492"/>
      <c r="H5" s="492"/>
      <c r="I5" s="492"/>
      <c r="J5" s="492"/>
      <c r="K5" s="492"/>
      <c r="L5" s="492"/>
      <c r="M5" s="492"/>
      <c r="N5" s="243"/>
    </row>
    <row r="6" spans="3:15" ht="20.149999999999999" customHeight="1" x14ac:dyDescent="0.45">
      <c r="C6" s="492" t="s">
        <v>245</v>
      </c>
      <c r="D6" s="492"/>
      <c r="E6" s="492"/>
      <c r="F6" s="492"/>
      <c r="G6" s="492"/>
      <c r="H6" s="492"/>
      <c r="I6" s="492"/>
      <c r="J6" s="492"/>
      <c r="K6" s="492"/>
      <c r="L6" s="492"/>
      <c r="M6" s="492"/>
      <c r="N6" s="243"/>
    </row>
    <row r="7" spans="3:15" ht="20.149999999999999" customHeight="1" x14ac:dyDescent="0.45">
      <c r="C7" s="476" t="s">
        <v>318</v>
      </c>
      <c r="D7" s="476"/>
      <c r="E7" s="476"/>
      <c r="F7" s="476"/>
      <c r="G7" s="476"/>
      <c r="H7" s="476"/>
      <c r="I7" s="476"/>
      <c r="J7" s="476"/>
      <c r="K7" s="476"/>
      <c r="L7" s="476"/>
      <c r="M7" s="476"/>
      <c r="N7" s="243"/>
    </row>
    <row r="8" spans="3:15" ht="20.149999999999999" customHeight="1" x14ac:dyDescent="0.45">
      <c r="C8" s="476" t="s">
        <v>462</v>
      </c>
      <c r="D8" s="476"/>
      <c r="E8" s="476"/>
      <c r="F8" s="476"/>
      <c r="G8" s="476"/>
      <c r="H8" s="476"/>
      <c r="I8" s="476"/>
      <c r="J8" s="476"/>
      <c r="K8" s="476"/>
      <c r="L8" s="476"/>
      <c r="M8" s="476"/>
      <c r="N8" s="221"/>
    </row>
    <row r="9" spans="3:15" ht="15" customHeight="1" x14ac:dyDescent="0.4"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</row>
    <row r="10" spans="3:15" ht="15" customHeight="1" x14ac:dyDescent="0.45">
      <c r="C10" s="220" t="s">
        <v>463</v>
      </c>
      <c r="D10" s="221"/>
      <c r="E10" s="221"/>
      <c r="F10" s="221"/>
      <c r="G10" s="221"/>
      <c r="H10" s="221"/>
      <c r="I10" s="221"/>
      <c r="J10" s="221"/>
      <c r="K10" s="221"/>
      <c r="L10" s="247" t="s">
        <v>326</v>
      </c>
      <c r="M10" s="219">
        <v>7172.9999999999982</v>
      </c>
      <c r="N10" s="8"/>
      <c r="O10" s="135" t="s">
        <v>245</v>
      </c>
    </row>
    <row r="11" spans="3:15" ht="15" customHeight="1" x14ac:dyDescent="0.45">
      <c r="C11" s="221"/>
      <c r="D11" s="221"/>
      <c r="E11" s="221"/>
      <c r="F11" s="221"/>
      <c r="G11" s="221"/>
      <c r="H11" s="221"/>
      <c r="I11" s="221"/>
      <c r="J11" s="221"/>
      <c r="K11" s="221"/>
      <c r="L11" s="8"/>
      <c r="M11" s="8"/>
      <c r="N11" s="8"/>
    </row>
    <row r="12" spans="3:15" ht="15" customHeight="1" x14ac:dyDescent="0.45">
      <c r="C12" s="220" t="s">
        <v>464</v>
      </c>
      <c r="D12" s="220"/>
      <c r="E12" s="221"/>
      <c r="F12" s="221"/>
      <c r="G12" s="221"/>
      <c r="H12" s="221"/>
      <c r="I12" s="221"/>
      <c r="J12" s="221"/>
      <c r="K12" s="221"/>
      <c r="L12" s="8"/>
      <c r="M12" s="8"/>
      <c r="N12" s="8"/>
    </row>
    <row r="13" spans="3:15" ht="15" customHeight="1" x14ac:dyDescent="0.45">
      <c r="C13" s="221"/>
      <c r="D13" s="221"/>
      <c r="E13" s="221"/>
      <c r="F13" s="221"/>
      <c r="G13" s="221"/>
      <c r="H13" s="221"/>
      <c r="I13" s="226" t="s">
        <v>245</v>
      </c>
      <c r="J13" s="226"/>
      <c r="K13" s="226" t="s">
        <v>245</v>
      </c>
      <c r="L13" s="19"/>
      <c r="M13" s="8"/>
      <c r="N13" s="8"/>
    </row>
    <row r="14" spans="3:15" ht="15" customHeight="1" x14ac:dyDescent="0.45">
      <c r="C14" s="476" t="s">
        <v>305</v>
      </c>
      <c r="D14" s="476"/>
      <c r="E14" s="476"/>
      <c r="F14" s="221"/>
      <c r="G14" s="221" t="s">
        <v>320</v>
      </c>
      <c r="H14" s="221"/>
      <c r="I14" s="226"/>
      <c r="J14" s="226"/>
      <c r="K14" s="226"/>
      <c r="L14" s="19"/>
      <c r="M14" s="8"/>
      <c r="N14" s="8"/>
    </row>
    <row r="15" spans="3:15" ht="15" customHeight="1" x14ac:dyDescent="0.45">
      <c r="C15" s="238"/>
      <c r="D15" s="238"/>
      <c r="E15" s="238"/>
      <c r="F15" s="221"/>
      <c r="G15" s="221"/>
      <c r="H15" s="221"/>
      <c r="I15" s="226"/>
      <c r="J15" s="226"/>
      <c r="K15" s="226"/>
      <c r="L15" s="19"/>
      <c r="M15" s="8"/>
      <c r="N15" s="8"/>
    </row>
    <row r="16" spans="3:15" ht="15" customHeight="1" x14ac:dyDescent="0.45">
      <c r="C16" s="476" t="s">
        <v>245</v>
      </c>
      <c r="D16" s="476"/>
      <c r="E16" s="476"/>
      <c r="F16" s="221"/>
      <c r="G16" s="221"/>
      <c r="H16" s="239" t="s">
        <v>316</v>
      </c>
      <c r="I16" s="239" t="s">
        <v>2</v>
      </c>
      <c r="J16" s="239" t="s">
        <v>407</v>
      </c>
      <c r="K16" s="239" t="s">
        <v>306</v>
      </c>
      <c r="L16" s="19"/>
      <c r="M16" s="8"/>
      <c r="N16" s="8"/>
    </row>
    <row r="17" spans="3:16" ht="15" customHeight="1" x14ac:dyDescent="0.45">
      <c r="C17" s="221"/>
      <c r="D17" s="221"/>
      <c r="E17" s="226" t="s">
        <v>245</v>
      </c>
      <c r="F17" s="226"/>
      <c r="G17" s="240" t="s">
        <v>245</v>
      </c>
      <c r="H17" s="222" t="s">
        <v>245</v>
      </c>
      <c r="I17" s="241" t="s">
        <v>245</v>
      </c>
      <c r="J17" s="241"/>
      <c r="K17" s="230" t="s">
        <v>245</v>
      </c>
      <c r="L17" s="201"/>
      <c r="M17" s="8"/>
      <c r="N17" s="8"/>
    </row>
    <row r="18" spans="3:16" ht="20.149999999999999" customHeight="1" x14ac:dyDescent="0.45">
      <c r="C18" s="221"/>
      <c r="D18" s="221"/>
      <c r="E18" s="226" t="s">
        <v>60</v>
      </c>
      <c r="F18" s="226"/>
      <c r="G18" s="240" t="s">
        <v>25</v>
      </c>
      <c r="H18" s="222">
        <v>1495</v>
      </c>
      <c r="I18" s="222">
        <v>700</v>
      </c>
      <c r="J18" s="222">
        <v>0</v>
      </c>
      <c r="K18" s="222">
        <f>H18-I18-J18</f>
        <v>795</v>
      </c>
      <c r="L18" s="216"/>
      <c r="M18" s="8"/>
      <c r="N18" s="8"/>
    </row>
    <row r="19" spans="3:16" ht="20.149999999999999" customHeight="1" x14ac:dyDescent="0.45">
      <c r="C19" s="221"/>
      <c r="D19" s="221"/>
      <c r="E19" s="226" t="s">
        <v>60</v>
      </c>
      <c r="F19" s="226"/>
      <c r="G19" s="240">
        <v>14</v>
      </c>
      <c r="H19" s="223">
        <v>1130</v>
      </c>
      <c r="I19" s="222">
        <v>100</v>
      </c>
      <c r="J19" s="222">
        <v>0</v>
      </c>
      <c r="K19" s="222">
        <f>H19-I19</f>
        <v>1030</v>
      </c>
      <c r="L19" s="216"/>
      <c r="M19" s="8"/>
      <c r="N19" s="8"/>
      <c r="O19" s="272" t="s">
        <v>245</v>
      </c>
    </row>
    <row r="20" spans="3:16" ht="20.149999999999999" customHeight="1" x14ac:dyDescent="0.45">
      <c r="C20" s="221"/>
      <c r="D20" s="221"/>
      <c r="E20" s="226" t="s">
        <v>60</v>
      </c>
      <c r="F20" s="226"/>
      <c r="G20" s="240">
        <v>21</v>
      </c>
      <c r="H20" s="223">
        <v>1385</v>
      </c>
      <c r="I20" s="222">
        <v>400</v>
      </c>
      <c r="J20" s="222">
        <v>0</v>
      </c>
      <c r="K20" s="222">
        <f>H20-I20</f>
        <v>985</v>
      </c>
      <c r="L20" s="216"/>
      <c r="M20" s="8"/>
      <c r="N20" s="8"/>
    </row>
    <row r="21" spans="3:16" ht="20.149999999999999" customHeight="1" x14ac:dyDescent="0.75">
      <c r="C21" s="221"/>
      <c r="D21" s="221"/>
      <c r="E21" s="226" t="s">
        <v>60</v>
      </c>
      <c r="F21" s="226"/>
      <c r="G21" s="240">
        <v>28</v>
      </c>
      <c r="H21" s="265">
        <v>1004</v>
      </c>
      <c r="I21" s="266">
        <v>150</v>
      </c>
      <c r="J21" s="266">
        <v>0</v>
      </c>
      <c r="K21" s="266">
        <f>H21-I21</f>
        <v>854</v>
      </c>
      <c r="L21" s="216"/>
      <c r="M21" s="44" t="s">
        <v>245</v>
      </c>
      <c r="N21" s="8"/>
    </row>
    <row r="22" spans="3:16" ht="15" customHeight="1" x14ac:dyDescent="0.45">
      <c r="C22" s="221"/>
      <c r="D22" s="221"/>
      <c r="E22" s="226"/>
      <c r="F22" s="226"/>
      <c r="G22" s="240"/>
      <c r="H22" s="223"/>
      <c r="I22" s="222"/>
      <c r="J22" s="222"/>
      <c r="K22" s="222"/>
      <c r="L22" s="216"/>
      <c r="M22" s="44"/>
      <c r="N22" s="8"/>
    </row>
    <row r="23" spans="3:16" ht="15" customHeight="1" x14ac:dyDescent="0.45">
      <c r="C23" s="221"/>
      <c r="D23" s="221"/>
      <c r="E23" s="238" t="s">
        <v>65</v>
      </c>
      <c r="F23" s="221"/>
      <c r="G23" s="226"/>
      <c r="H23" s="288">
        <f>SUM(H18:H21)</f>
        <v>5014</v>
      </c>
      <c r="I23" s="296">
        <f>SUM(I18:I21)</f>
        <v>1350</v>
      </c>
      <c r="J23" s="288">
        <f>SUM(J18:J21)</f>
        <v>0</v>
      </c>
      <c r="K23" s="248">
        <f>SUM(K18:K21)</f>
        <v>3664</v>
      </c>
      <c r="L23" s="218"/>
      <c r="M23" s="44" t="s">
        <v>245</v>
      </c>
      <c r="N23" s="8"/>
      <c r="O23" t="s">
        <v>245</v>
      </c>
      <c r="P23" s="135" t="s">
        <v>245</v>
      </c>
    </row>
    <row r="24" spans="3:16" ht="15" customHeight="1" x14ac:dyDescent="0.45">
      <c r="C24" s="221"/>
      <c r="D24" s="221"/>
      <c r="E24" s="221"/>
      <c r="F24" s="221"/>
      <c r="G24" s="226"/>
      <c r="H24" s="224"/>
      <c r="I24" s="222"/>
      <c r="J24" s="222"/>
      <c r="K24" s="222"/>
      <c r="L24" s="216"/>
      <c r="M24" s="44"/>
      <c r="N24" s="8"/>
    </row>
    <row r="25" spans="3:16" ht="15.75" customHeight="1" x14ac:dyDescent="0.45">
      <c r="C25" s="220" t="s">
        <v>245</v>
      </c>
      <c r="D25" s="221"/>
      <c r="E25" s="221"/>
      <c r="F25" s="221"/>
      <c r="G25" s="226"/>
      <c r="H25" s="224"/>
      <c r="I25" s="222"/>
      <c r="J25" s="222"/>
      <c r="K25" s="248" t="s">
        <v>245</v>
      </c>
      <c r="L25" s="216"/>
      <c r="M25" s="44"/>
      <c r="N25" s="8"/>
    </row>
    <row r="26" spans="3:16" ht="15" customHeight="1" x14ac:dyDescent="0.45">
      <c r="C26" s="221"/>
      <c r="D26" s="221"/>
      <c r="E26" s="221"/>
      <c r="F26" s="221"/>
      <c r="G26" s="226"/>
      <c r="H26" s="224"/>
      <c r="I26" s="222"/>
      <c r="J26" s="222"/>
      <c r="K26" s="222"/>
      <c r="L26" s="216"/>
      <c r="M26" s="44"/>
      <c r="N26" s="8"/>
    </row>
    <row r="27" spans="3:16" ht="15" customHeight="1" x14ac:dyDescent="0.45">
      <c r="C27" s="495" t="s">
        <v>376</v>
      </c>
      <c r="D27" s="495"/>
      <c r="E27" s="495"/>
      <c r="F27" s="495"/>
      <c r="G27" s="495"/>
      <c r="H27" s="495"/>
      <c r="I27" s="495"/>
      <c r="J27" s="297"/>
      <c r="K27" s="219" t="s">
        <v>245</v>
      </c>
      <c r="L27" s="219"/>
      <c r="M27" s="225" t="s">
        <v>245</v>
      </c>
      <c r="N27" s="8"/>
    </row>
    <row r="28" spans="3:16" ht="15" customHeight="1" x14ac:dyDescent="0.45">
      <c r="C28" s="220"/>
      <c r="D28" s="221"/>
      <c r="E28" s="221"/>
      <c r="F28" s="221"/>
      <c r="G28" s="221"/>
      <c r="H28" s="226"/>
      <c r="I28" s="230"/>
      <c r="J28" s="230"/>
      <c r="K28" s="219"/>
      <c r="L28" s="219"/>
      <c r="M28" s="225"/>
      <c r="N28" s="8"/>
    </row>
    <row r="29" spans="3:16" ht="22.95" customHeight="1" x14ac:dyDescent="0.45">
      <c r="C29" s="220"/>
      <c r="D29" s="221"/>
      <c r="E29" s="475" t="s">
        <v>377</v>
      </c>
      <c r="F29" s="475"/>
      <c r="G29" s="475"/>
      <c r="H29" s="475"/>
      <c r="I29" s="230"/>
      <c r="J29" s="230"/>
      <c r="K29" s="299">
        <f>'July-2024-Sched A'!I42</f>
        <v>0</v>
      </c>
      <c r="L29" s="219"/>
      <c r="M29" s="231">
        <f>K29+K23</f>
        <v>3664</v>
      </c>
      <c r="N29" s="8"/>
      <c r="O29" s="304" t="s">
        <v>245</v>
      </c>
      <c r="P29" s="135" t="s">
        <v>245</v>
      </c>
    </row>
    <row r="30" spans="3:16" ht="15" customHeight="1" x14ac:dyDescent="0.75">
      <c r="C30" s="242"/>
      <c r="D30" s="236"/>
      <c r="E30" s="243"/>
      <c r="F30" s="236"/>
      <c r="G30" s="226"/>
      <c r="H30" s="226"/>
      <c r="I30" s="226"/>
      <c r="J30" s="226"/>
      <c r="K30" s="222"/>
      <c r="L30" s="222"/>
      <c r="M30" s="244"/>
      <c r="N30" s="8"/>
    </row>
    <row r="31" spans="3:16" ht="15" customHeight="1" x14ac:dyDescent="0.45">
      <c r="C31" s="220" t="s">
        <v>442</v>
      </c>
      <c r="D31" s="220"/>
      <c r="E31" s="221"/>
      <c r="F31" s="221"/>
      <c r="G31" s="221"/>
      <c r="H31" s="221"/>
      <c r="I31" s="221"/>
      <c r="J31" s="221"/>
      <c r="K31" s="221"/>
      <c r="L31" s="221"/>
      <c r="M31" s="300">
        <v>0</v>
      </c>
      <c r="N31" s="8"/>
    </row>
    <row r="32" spans="3:16" ht="15" customHeight="1" x14ac:dyDescent="0.75">
      <c r="C32" s="242"/>
      <c r="D32" s="236"/>
      <c r="E32" s="243"/>
      <c r="F32" s="236"/>
      <c r="G32" s="226"/>
      <c r="H32" s="226"/>
      <c r="I32" s="226"/>
      <c r="J32" s="226"/>
      <c r="K32" s="222"/>
      <c r="L32" s="222"/>
      <c r="M32" s="244"/>
      <c r="N32" s="8"/>
    </row>
    <row r="33" spans="3:15" ht="20.149999999999999" customHeight="1" x14ac:dyDescent="0.45">
      <c r="C33" s="220" t="s">
        <v>313</v>
      </c>
      <c r="D33" s="220"/>
      <c r="E33" s="221"/>
      <c r="F33" s="221"/>
      <c r="G33" s="221"/>
      <c r="H33" s="221"/>
      <c r="I33" s="221"/>
      <c r="J33" s="221"/>
      <c r="K33" s="221"/>
      <c r="L33" s="247" t="s">
        <v>326</v>
      </c>
      <c r="M33" s="219">
        <f>M10+M29+M31</f>
        <v>10836.999999999998</v>
      </c>
      <c r="N33" s="8"/>
      <c r="O33" t="s">
        <v>245</v>
      </c>
    </row>
    <row r="34" spans="3:15" ht="13.5" customHeight="1" x14ac:dyDescent="0.45">
      <c r="C34" s="220"/>
      <c r="D34" s="220"/>
      <c r="E34" s="221"/>
      <c r="F34" s="221"/>
      <c r="G34" s="221"/>
      <c r="H34" s="221"/>
      <c r="I34" s="221"/>
      <c r="J34" s="221"/>
      <c r="K34" s="221"/>
      <c r="L34" s="221"/>
      <c r="M34" s="221"/>
      <c r="N34" s="8"/>
    </row>
    <row r="35" spans="3:15" ht="13.5" customHeight="1" x14ac:dyDescent="0.45">
      <c r="C35" s="220"/>
      <c r="D35" s="220"/>
      <c r="E35" s="221"/>
      <c r="F35" s="221"/>
      <c r="G35" s="221"/>
      <c r="H35" s="221"/>
      <c r="I35" s="221"/>
      <c r="J35" s="221"/>
      <c r="K35" s="221"/>
      <c r="L35" s="221"/>
      <c r="M35" s="221"/>
      <c r="N35" s="8"/>
    </row>
    <row r="36" spans="3:15" ht="13.5" customHeight="1" x14ac:dyDescent="0.45">
      <c r="C36" s="220"/>
      <c r="D36" s="220"/>
      <c r="E36" s="221"/>
      <c r="F36" s="221"/>
      <c r="G36" s="221"/>
      <c r="H36" s="221"/>
      <c r="I36" s="221"/>
      <c r="J36" s="221"/>
      <c r="K36" s="221"/>
      <c r="L36" s="221"/>
      <c r="M36" s="221"/>
      <c r="N36" s="8"/>
    </row>
    <row r="37" spans="3:15" ht="13.5" customHeight="1" x14ac:dyDescent="0.45">
      <c r="C37" s="220"/>
      <c r="D37" s="220"/>
      <c r="E37" s="221"/>
      <c r="F37" s="221"/>
      <c r="G37" s="221"/>
      <c r="H37" s="221"/>
      <c r="I37" s="221"/>
      <c r="J37" s="221"/>
      <c r="K37" s="221"/>
      <c r="L37" s="221"/>
      <c r="M37" s="221"/>
      <c r="N37" s="8"/>
    </row>
    <row r="38" spans="3:15" ht="13.5" customHeight="1" x14ac:dyDescent="0.45">
      <c r="C38" s="220" t="s">
        <v>465</v>
      </c>
      <c r="D38" s="220"/>
      <c r="E38" s="221"/>
      <c r="F38" s="221"/>
      <c r="G38" s="221"/>
      <c r="H38" s="221"/>
      <c r="I38" s="221"/>
      <c r="J38" s="221"/>
      <c r="K38" s="221"/>
      <c r="L38" s="221"/>
      <c r="M38" s="221"/>
      <c r="N38" s="8"/>
    </row>
    <row r="39" spans="3:15" ht="15" customHeight="1" x14ac:dyDescent="0.45">
      <c r="C39" s="221" t="s">
        <v>245</v>
      </c>
      <c r="D39" s="221"/>
      <c r="E39" s="221" t="s">
        <v>245</v>
      </c>
      <c r="F39" s="221"/>
      <c r="G39" s="221"/>
      <c r="H39" s="221"/>
      <c r="I39" s="221"/>
      <c r="J39" s="221"/>
      <c r="K39" s="221"/>
      <c r="L39" s="221"/>
      <c r="M39" s="221"/>
      <c r="N39" s="8"/>
    </row>
    <row r="40" spans="3:15" ht="15" customHeight="1" x14ac:dyDescent="0.45">
      <c r="C40" s="239" t="s">
        <v>5</v>
      </c>
      <c r="D40" s="226"/>
      <c r="E40" s="226" t="s">
        <v>257</v>
      </c>
      <c r="F40" s="226"/>
      <c r="G40" s="487" t="s">
        <v>373</v>
      </c>
      <c r="H40" s="487"/>
      <c r="I40" s="487"/>
      <c r="J40" s="236"/>
      <c r="K40" s="236" t="s">
        <v>123</v>
      </c>
      <c r="L40" s="221"/>
      <c r="M40" s="226" t="s">
        <v>245</v>
      </c>
      <c r="N40" s="19"/>
    </row>
    <row r="41" spans="3:15" ht="15" customHeight="1" x14ac:dyDescent="0.45">
      <c r="C41" s="226"/>
      <c r="D41" s="226"/>
      <c r="E41" s="226"/>
      <c r="F41" s="226"/>
      <c r="G41" s="221"/>
      <c r="H41" s="221"/>
      <c r="I41" s="221"/>
      <c r="J41" s="221"/>
      <c r="K41" s="221"/>
      <c r="L41" s="221"/>
      <c r="M41" s="226"/>
      <c r="N41" s="19"/>
    </row>
    <row r="42" spans="3:15" ht="20.149999999999999" customHeight="1" x14ac:dyDescent="0.45">
      <c r="C42" s="292" t="s">
        <v>479</v>
      </c>
      <c r="D42" s="226"/>
      <c r="E42" s="226"/>
      <c r="F42" s="226"/>
      <c r="G42" s="228" t="s">
        <v>480</v>
      </c>
      <c r="H42" s="221"/>
      <c r="I42" s="221"/>
      <c r="J42" s="221"/>
      <c r="K42" s="222">
        <v>783.38</v>
      </c>
      <c r="L42" s="222"/>
      <c r="M42" s="222"/>
      <c r="N42" s="19"/>
    </row>
    <row r="43" spans="3:15" ht="20.149999999999999" customHeight="1" x14ac:dyDescent="0.85">
      <c r="C43" s="292" t="s">
        <v>481</v>
      </c>
      <c r="D43" s="226"/>
      <c r="E43" s="226"/>
      <c r="F43" s="226"/>
      <c r="G43" s="228" t="s">
        <v>482</v>
      </c>
      <c r="H43" s="221"/>
      <c r="I43" s="221"/>
      <c r="J43" s="221"/>
      <c r="K43" s="266">
        <v>635</v>
      </c>
      <c r="L43" s="222"/>
      <c r="M43" s="301">
        <f>K42+K43</f>
        <v>1418.38</v>
      </c>
      <c r="N43" s="19"/>
    </row>
    <row r="44" spans="3:15" ht="20.149999999999999" hidden="1" customHeight="1" x14ac:dyDescent="0.75">
      <c r="C44" s="292" t="s">
        <v>447</v>
      </c>
      <c r="D44" s="226"/>
      <c r="E44" s="226"/>
      <c r="F44" s="226"/>
      <c r="G44" s="228" t="s">
        <v>449</v>
      </c>
      <c r="H44" s="221"/>
      <c r="I44" s="221"/>
      <c r="J44" s="221"/>
      <c r="K44" s="222">
        <v>0</v>
      </c>
      <c r="L44" s="222"/>
      <c r="M44" s="266"/>
      <c r="N44" s="19"/>
    </row>
    <row r="45" spans="3:15" ht="20.149999999999999" hidden="1" customHeight="1" x14ac:dyDescent="0.75">
      <c r="C45" s="292" t="s">
        <v>450</v>
      </c>
      <c r="D45" s="226"/>
      <c r="E45" s="226"/>
      <c r="F45" s="226"/>
      <c r="G45" s="228" t="s">
        <v>451</v>
      </c>
      <c r="H45" s="221"/>
      <c r="I45" s="221"/>
      <c r="J45" s="221"/>
      <c r="K45" s="222">
        <v>0</v>
      </c>
      <c r="L45" s="222"/>
      <c r="M45" s="266"/>
      <c r="N45" s="19"/>
    </row>
    <row r="46" spans="3:15" ht="20.149999999999999" hidden="1" customHeight="1" x14ac:dyDescent="0.75">
      <c r="C46" s="292" t="s">
        <v>452</v>
      </c>
      <c r="D46" s="226"/>
      <c r="E46" s="226"/>
      <c r="F46" s="226"/>
      <c r="G46" s="228" t="s">
        <v>432</v>
      </c>
      <c r="H46" s="221"/>
      <c r="I46" s="221"/>
      <c r="J46" s="221"/>
      <c r="K46" s="222">
        <v>0</v>
      </c>
      <c r="L46" s="222"/>
      <c r="M46" s="266"/>
      <c r="N46" s="19"/>
    </row>
    <row r="47" spans="3:15" ht="20.149999999999999" hidden="1" customHeight="1" x14ac:dyDescent="0.85">
      <c r="C47" s="292" t="s">
        <v>453</v>
      </c>
      <c r="D47" s="226"/>
      <c r="E47" s="226"/>
      <c r="F47" s="226"/>
      <c r="G47" s="228" t="s">
        <v>454</v>
      </c>
      <c r="H47" s="221"/>
      <c r="I47" s="221"/>
      <c r="J47" s="221"/>
      <c r="K47" s="266">
        <v>0</v>
      </c>
      <c r="L47" s="222"/>
      <c r="M47" s="301">
        <f>SUM(K42:K47)</f>
        <v>1418.38</v>
      </c>
      <c r="N47" s="19"/>
    </row>
    <row r="48" spans="3:15" ht="15" customHeight="1" x14ac:dyDescent="0.45">
      <c r="C48" s="227"/>
      <c r="D48" s="227"/>
      <c r="E48" s="229"/>
      <c r="F48" s="229"/>
      <c r="G48" s="228"/>
      <c r="H48" s="221"/>
      <c r="I48" s="221"/>
      <c r="J48" s="221"/>
      <c r="K48" s="230"/>
      <c r="L48" s="230"/>
      <c r="M48" s="230"/>
      <c r="N48" s="201"/>
    </row>
    <row r="49" spans="2:19" ht="20.149999999999999" customHeight="1" x14ac:dyDescent="0.45">
      <c r="C49" s="220" t="s">
        <v>327</v>
      </c>
      <c r="D49" s="220"/>
      <c r="E49" s="221"/>
      <c r="F49" s="221"/>
      <c r="G49" s="221"/>
      <c r="H49" s="221"/>
      <c r="I49" s="221"/>
      <c r="J49" s="221"/>
      <c r="K49" s="221"/>
      <c r="L49" s="221"/>
      <c r="M49" s="231">
        <f>M33-M43</f>
        <v>9418.619999999999</v>
      </c>
      <c r="N49" s="44"/>
    </row>
    <row r="50" spans="2:19" ht="13.5" customHeight="1" x14ac:dyDescent="0.45">
      <c r="C50" s="221"/>
      <c r="D50" s="221"/>
      <c r="E50" s="221"/>
      <c r="F50" s="221"/>
      <c r="G50" s="221"/>
      <c r="H50" s="221"/>
      <c r="I50" s="221"/>
      <c r="J50" s="221"/>
      <c r="K50" s="221"/>
      <c r="L50" s="221"/>
      <c r="M50" s="225"/>
      <c r="N50" s="44"/>
    </row>
    <row r="51" spans="2:19" ht="20.149999999999999" customHeight="1" x14ac:dyDescent="0.85">
      <c r="C51" s="220" t="s">
        <v>466</v>
      </c>
      <c r="D51" s="221"/>
      <c r="E51" s="221"/>
      <c r="F51" s="221"/>
      <c r="G51" s="221"/>
      <c r="H51" s="221"/>
      <c r="I51" s="221"/>
      <c r="J51" s="221"/>
      <c r="K51" s="221"/>
      <c r="L51" s="221"/>
      <c r="M51" s="264">
        <f>1193+2899.15</f>
        <v>4092.15</v>
      </c>
      <c r="N51" s="44"/>
    </row>
    <row r="52" spans="2:19" ht="13.5" customHeight="1" x14ac:dyDescent="0.45">
      <c r="C52" s="221"/>
      <c r="D52" s="221"/>
      <c r="E52" s="221"/>
      <c r="F52" s="221"/>
      <c r="G52" s="221"/>
      <c r="H52" s="221"/>
      <c r="I52" s="221"/>
      <c r="J52" s="221"/>
      <c r="K52" s="221"/>
      <c r="L52" s="221"/>
      <c r="M52" s="225"/>
      <c r="N52" s="44"/>
    </row>
    <row r="53" spans="2:19" ht="24.45" customHeight="1" thickBot="1" x14ac:dyDescent="0.5">
      <c r="C53" s="220" t="s">
        <v>467</v>
      </c>
      <c r="D53" s="221"/>
      <c r="E53" s="221"/>
      <c r="F53" s="221"/>
      <c r="G53" s="221"/>
      <c r="H53" s="221"/>
      <c r="I53" s="221"/>
      <c r="J53" s="221"/>
      <c r="K53" s="221"/>
      <c r="L53" s="245" t="s">
        <v>326</v>
      </c>
      <c r="M53" s="232">
        <f>M49-M51</f>
        <v>5326.4699999999993</v>
      </c>
      <c r="N53" s="8"/>
      <c r="O53" s="2" t="s">
        <v>245</v>
      </c>
      <c r="P53" s="135"/>
      <c r="Q53" s="135"/>
      <c r="R53" s="135"/>
      <c r="S53" s="135"/>
    </row>
    <row r="54" spans="2:19" ht="13.5" customHeight="1" thickTop="1" x14ac:dyDescent="0.45">
      <c r="C54" s="221"/>
      <c r="D54" s="221"/>
      <c r="E54" s="220"/>
      <c r="F54" s="220"/>
      <c r="G54" s="221"/>
      <c r="H54" s="221"/>
      <c r="I54" s="221"/>
      <c r="J54" s="221"/>
      <c r="K54" s="221"/>
      <c r="L54" s="221"/>
      <c r="M54" s="221"/>
      <c r="N54" s="8"/>
      <c r="O54" s="135"/>
      <c r="P54" s="474"/>
      <c r="Q54" s="474"/>
    </row>
    <row r="55" spans="2:19" ht="13.5" customHeight="1" x14ac:dyDescent="0.45">
      <c r="C55" s="221"/>
      <c r="D55" s="221"/>
      <c r="E55" s="220"/>
      <c r="F55" s="220"/>
      <c r="G55" s="221"/>
      <c r="H55" s="221"/>
      <c r="I55" s="221"/>
      <c r="J55" s="221"/>
      <c r="K55" s="221"/>
      <c r="L55" s="221"/>
      <c r="M55" s="221"/>
      <c r="N55" s="8"/>
      <c r="O55" s="270"/>
    </row>
    <row r="56" spans="2:19" ht="13.5" customHeight="1" thickBot="1" x14ac:dyDescent="0.45">
      <c r="C56" s="8"/>
      <c r="D56" s="8"/>
      <c r="E56" s="13"/>
      <c r="F56" s="13"/>
      <c r="G56" s="8"/>
      <c r="H56" s="8"/>
      <c r="I56" s="8"/>
      <c r="J56" s="8"/>
      <c r="K56" s="8"/>
      <c r="L56" s="8"/>
      <c r="M56" s="8"/>
      <c r="N56" s="8"/>
    </row>
    <row r="57" spans="2:19" ht="13.5" customHeight="1" x14ac:dyDescent="0.45">
      <c r="B57" s="251"/>
      <c r="C57" s="493" t="s">
        <v>457</v>
      </c>
      <c r="D57" s="493"/>
      <c r="E57" s="493"/>
      <c r="F57" s="493"/>
      <c r="G57" s="493"/>
      <c r="H57" s="493"/>
      <c r="I57" s="252"/>
      <c r="J57" s="252"/>
      <c r="K57" s="252"/>
      <c r="L57" s="483" t="s">
        <v>326</v>
      </c>
      <c r="M57" s="479">
        <v>64231.100000000006</v>
      </c>
      <c r="N57" s="253"/>
    </row>
    <row r="58" spans="2:19" ht="11.15" customHeight="1" x14ac:dyDescent="0.4">
      <c r="B58" s="254"/>
      <c r="C58" s="494"/>
      <c r="D58" s="494"/>
      <c r="E58" s="494"/>
      <c r="F58" s="494"/>
      <c r="G58" s="494"/>
      <c r="H58" s="494"/>
      <c r="I58" s="220"/>
      <c r="J58" s="220"/>
      <c r="K58" s="220"/>
      <c r="L58" s="484"/>
      <c r="M58" s="480"/>
      <c r="N58" s="255"/>
    </row>
    <row r="59" spans="2:19" ht="16.2" customHeight="1" x14ac:dyDescent="0.4">
      <c r="B59" s="256"/>
      <c r="C59" s="496" t="s">
        <v>469</v>
      </c>
      <c r="D59" s="496"/>
      <c r="E59" s="496"/>
      <c r="F59" s="496"/>
      <c r="G59" s="496"/>
      <c r="H59" s="496"/>
      <c r="I59" s="233"/>
      <c r="J59" s="233"/>
      <c r="K59" s="307" t="s">
        <v>245</v>
      </c>
      <c r="L59" s="233"/>
      <c r="M59" s="261">
        <v>1193</v>
      </c>
      <c r="N59" s="174"/>
    </row>
    <row r="60" spans="2:19" ht="16.2" customHeight="1" x14ac:dyDescent="0.4">
      <c r="B60" s="254"/>
      <c r="C60" s="496" t="s">
        <v>470</v>
      </c>
      <c r="D60" s="496"/>
      <c r="E60" s="496"/>
      <c r="F60" s="496"/>
      <c r="G60" s="496"/>
      <c r="H60" s="496"/>
      <c r="I60" s="233"/>
      <c r="J60" s="233"/>
      <c r="K60" s="233" t="s">
        <v>245</v>
      </c>
      <c r="L60" s="233"/>
      <c r="M60" s="261">
        <v>2899.15</v>
      </c>
      <c r="N60" s="255"/>
    </row>
    <row r="61" spans="2:19" ht="16.2" customHeight="1" thickBot="1" x14ac:dyDescent="0.5">
      <c r="B61" s="254"/>
      <c r="C61" s="497" t="s">
        <v>322</v>
      </c>
      <c r="D61" s="497"/>
      <c r="E61" s="497"/>
      <c r="F61" s="497"/>
      <c r="G61" s="497"/>
      <c r="H61" s="497"/>
      <c r="I61" s="302"/>
      <c r="J61" s="302"/>
      <c r="K61" s="303"/>
      <c r="L61" s="303"/>
      <c r="M61" s="261">
        <f>7.08-1.42</f>
        <v>5.66</v>
      </c>
      <c r="N61" s="255"/>
    </row>
    <row r="62" spans="2:19" ht="16.2" hidden="1" customHeight="1" x14ac:dyDescent="0.45">
      <c r="B62" s="254"/>
      <c r="C62" s="496" t="s">
        <v>460</v>
      </c>
      <c r="D62" s="496"/>
      <c r="E62" s="496"/>
      <c r="F62" s="496"/>
      <c r="G62" s="496"/>
      <c r="H62" s="496"/>
      <c r="I62" s="221"/>
      <c r="J62" s="221"/>
      <c r="K62" s="230"/>
      <c r="L62" s="230"/>
      <c r="M62" s="262">
        <v>0</v>
      </c>
      <c r="N62" s="255"/>
    </row>
    <row r="63" spans="2:19" ht="13.5" customHeight="1" x14ac:dyDescent="0.4">
      <c r="B63" s="251"/>
      <c r="C63" s="498" t="s">
        <v>468</v>
      </c>
      <c r="D63" s="498"/>
      <c r="E63" s="498"/>
      <c r="F63" s="498"/>
      <c r="G63" s="498"/>
      <c r="H63" s="498"/>
      <c r="I63" s="260"/>
      <c r="J63" s="260"/>
      <c r="K63" s="260"/>
      <c r="L63" s="485" t="s">
        <v>326</v>
      </c>
      <c r="M63" s="477">
        <f>SUM(M57:M62)</f>
        <v>68328.91</v>
      </c>
      <c r="N63" s="253"/>
    </row>
    <row r="64" spans="2:19" ht="13.5" customHeight="1" thickBot="1" x14ac:dyDescent="0.45">
      <c r="B64" s="257"/>
      <c r="C64" s="499"/>
      <c r="D64" s="499"/>
      <c r="E64" s="499"/>
      <c r="F64" s="499"/>
      <c r="G64" s="499"/>
      <c r="H64" s="499"/>
      <c r="I64" s="258"/>
      <c r="J64" s="258"/>
      <c r="K64" s="258"/>
      <c r="L64" s="486"/>
      <c r="M64" s="478"/>
      <c r="N64" s="259"/>
      <c r="O64" s="135" t="s">
        <v>245</v>
      </c>
    </row>
    <row r="65" spans="3:14" ht="13.5" customHeight="1" x14ac:dyDescent="0.4">
      <c r="C65" s="8"/>
      <c r="D65" s="8"/>
      <c r="E65" s="13"/>
      <c r="F65" s="13"/>
      <c r="G65" s="13"/>
      <c r="H65" s="13"/>
      <c r="I65" s="13"/>
      <c r="J65" s="13"/>
      <c r="K65" s="13"/>
      <c r="L65" s="13"/>
      <c r="M65" s="15" t="s">
        <v>245</v>
      </c>
      <c r="N65" s="8"/>
    </row>
    <row r="66" spans="3:14" ht="13.5" customHeight="1" x14ac:dyDescent="0.4">
      <c r="C66" s="8"/>
      <c r="D66" s="8"/>
      <c r="E66" s="13"/>
      <c r="F66" s="13"/>
      <c r="G66" s="13"/>
      <c r="H66" s="13"/>
      <c r="I66" s="13"/>
      <c r="J66" s="13"/>
      <c r="K66" s="13"/>
      <c r="L66" s="13"/>
      <c r="M66" s="15"/>
      <c r="N66" s="8"/>
    </row>
    <row r="67" spans="3:14" ht="13.5" customHeight="1" x14ac:dyDescent="0.4">
      <c r="C67" s="8"/>
      <c r="D67" s="8"/>
      <c r="E67" s="13"/>
      <c r="F67" s="13"/>
      <c r="G67" s="13"/>
      <c r="H67" s="13"/>
      <c r="I67" s="13"/>
      <c r="J67" s="13"/>
      <c r="K67" s="13"/>
      <c r="L67" s="13"/>
      <c r="M67" s="15"/>
      <c r="N67" s="8"/>
    </row>
    <row r="68" spans="3:14" ht="13.5" customHeight="1" x14ac:dyDescent="0.4">
      <c r="C68" s="237" t="s">
        <v>13</v>
      </c>
      <c r="D68" s="235"/>
      <c r="E68" s="235"/>
      <c r="F68" s="235"/>
      <c r="G68" s="237" t="s">
        <v>82</v>
      </c>
      <c r="H68" s="235"/>
      <c r="I68" s="237" t="s">
        <v>289</v>
      </c>
      <c r="J68" s="237"/>
      <c r="K68" s="235"/>
      <c r="L68" s="235"/>
      <c r="M68" s="235" t="s">
        <v>261</v>
      </c>
      <c r="N68" s="8"/>
    </row>
    <row r="69" spans="3:14" ht="13.5" customHeight="1" x14ac:dyDescent="0.4"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</row>
    <row r="70" spans="3:14" ht="20.149999999999999" customHeight="1" x14ac:dyDescent="0.4">
      <c r="C70" s="234" t="s">
        <v>290</v>
      </c>
      <c r="D70" s="235"/>
      <c r="E70" s="235"/>
      <c r="F70" s="235"/>
      <c r="G70" s="234" t="s">
        <v>14</v>
      </c>
      <c r="H70" s="235"/>
      <c r="I70" s="234" t="s">
        <v>17</v>
      </c>
      <c r="J70" s="234"/>
      <c r="K70" s="235"/>
      <c r="L70" s="235"/>
      <c r="M70" s="234" t="s">
        <v>8</v>
      </c>
      <c r="N70" s="8"/>
    </row>
    <row r="71" spans="3:14" ht="13.5" customHeight="1" x14ac:dyDescent="0.4">
      <c r="C71" s="19" t="s">
        <v>317</v>
      </c>
      <c r="D71" s="8"/>
      <c r="E71" s="8"/>
      <c r="F71" s="8"/>
      <c r="G71" s="19" t="s">
        <v>15</v>
      </c>
      <c r="H71" s="8"/>
      <c r="I71" s="19" t="s">
        <v>292</v>
      </c>
      <c r="J71" s="19"/>
      <c r="K71" s="8"/>
      <c r="L71" s="8"/>
      <c r="M71" s="19" t="s">
        <v>262</v>
      </c>
      <c r="N71" s="8"/>
    </row>
    <row r="72" spans="3:14" ht="13.5" customHeight="1" x14ac:dyDescent="0.4"/>
    <row r="73" spans="3:14" ht="13.5" customHeight="1" x14ac:dyDescent="0.4"/>
    <row r="74" spans="3:14" ht="13.5" customHeight="1" x14ac:dyDescent="0.4"/>
    <row r="75" spans="3:14" ht="13.5" customHeight="1" x14ac:dyDescent="0.4"/>
    <row r="76" spans="3:14" ht="13.5" customHeight="1" x14ac:dyDescent="0.4"/>
    <row r="77" spans="3:14" ht="13.5" customHeight="1" x14ac:dyDescent="0.4"/>
  </sheetData>
  <mergeCells count="21">
    <mergeCell ref="M63:M64"/>
    <mergeCell ref="C60:H60"/>
    <mergeCell ref="C16:E16"/>
    <mergeCell ref="C27:I27"/>
    <mergeCell ref="E29:H29"/>
    <mergeCell ref="G40:I40"/>
    <mergeCell ref="C59:H59"/>
    <mergeCell ref="C61:H61"/>
    <mergeCell ref="C62:H62"/>
    <mergeCell ref="C63:H64"/>
    <mergeCell ref="L63:L64"/>
    <mergeCell ref="P54:Q54"/>
    <mergeCell ref="C57:H58"/>
    <mergeCell ref="L57:L58"/>
    <mergeCell ref="M57:M58"/>
    <mergeCell ref="C4:N4"/>
    <mergeCell ref="C5:M5"/>
    <mergeCell ref="C6:M6"/>
    <mergeCell ref="C7:M7"/>
    <mergeCell ref="C8:M8"/>
    <mergeCell ref="C14:E14"/>
  </mergeCells>
  <pageMargins left="0" right="0" top="0" bottom="0" header="0.31496062992125984" footer="0.31496062992125984"/>
  <pageSetup paperSize="9" scale="75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40ADD3-2095-4208-9F35-E15B9386DC9F}">
  <dimension ref="B2:M63"/>
  <sheetViews>
    <sheetView workbookViewId="0">
      <selection sqref="A1:XFD1048576"/>
    </sheetView>
  </sheetViews>
  <sheetFormatPr defaultRowHeight="14.6" x14ac:dyDescent="0.4"/>
  <cols>
    <col min="1" max="1" width="2.3046875" customWidth="1"/>
    <col min="2" max="2" width="13.3046875" customWidth="1"/>
    <col min="3" max="3" width="4.84375" customWidth="1"/>
    <col min="4" max="4" width="12.3046875" customWidth="1"/>
    <col min="5" max="5" width="1.53515625" customWidth="1"/>
    <col min="6" max="6" width="19.84375" customWidth="1"/>
    <col min="7" max="7" width="22.3046875" customWidth="1"/>
    <col min="8" max="8" width="23.3046875" hidden="1" customWidth="1"/>
    <col min="9" max="9" width="10.07421875" customWidth="1"/>
    <col min="10" max="10" width="12.07421875" customWidth="1"/>
    <col min="11" max="12" width="12.3046875" customWidth="1"/>
    <col min="13" max="13" width="11.53515625" customWidth="1"/>
  </cols>
  <sheetData>
    <row r="2" spans="2:12" x14ac:dyDescent="0.4">
      <c r="B2" s="246" t="s">
        <v>329</v>
      </c>
    </row>
    <row r="3" spans="2:12" x14ac:dyDescent="0.4">
      <c r="B3" s="246"/>
    </row>
    <row r="4" spans="2:12" x14ac:dyDescent="0.4">
      <c r="B4" s="246"/>
    </row>
    <row r="5" spans="2:12" x14ac:dyDescent="0.4">
      <c r="B5" s="246"/>
    </row>
    <row r="6" spans="2:12" x14ac:dyDescent="0.4">
      <c r="B6" s="246"/>
    </row>
    <row r="7" spans="2:12" ht="14.15" customHeight="1" x14ac:dyDescent="0.4">
      <c r="B7" s="468" t="s">
        <v>0</v>
      </c>
      <c r="C7" s="468"/>
      <c r="D7" s="468"/>
      <c r="E7" s="468"/>
      <c r="F7" s="468"/>
      <c r="G7" s="468"/>
      <c r="H7" s="468"/>
      <c r="I7" s="468"/>
      <c r="J7" s="468"/>
      <c r="K7" s="468"/>
      <c r="L7" s="468"/>
    </row>
    <row r="8" spans="2:12" ht="14.15" customHeight="1" x14ac:dyDescent="0.4">
      <c r="B8" s="19"/>
      <c r="C8" s="19"/>
      <c r="D8" s="19"/>
      <c r="E8" s="19"/>
      <c r="F8" s="19"/>
      <c r="G8" s="19" t="s">
        <v>18</v>
      </c>
      <c r="H8" s="19"/>
      <c r="I8" s="19"/>
      <c r="J8" s="19"/>
      <c r="K8" s="19"/>
      <c r="L8" s="1"/>
    </row>
    <row r="9" spans="2:12" ht="14.15" customHeight="1" x14ac:dyDescent="0.4">
      <c r="B9" s="8"/>
      <c r="C9" s="8"/>
      <c r="D9" s="8"/>
      <c r="E9" s="8"/>
      <c r="F9" s="473" t="s">
        <v>471</v>
      </c>
      <c r="G9" s="473"/>
      <c r="H9" s="473"/>
      <c r="I9" s="473"/>
      <c r="J9" s="473"/>
      <c r="K9" s="8"/>
    </row>
    <row r="10" spans="2:12" ht="14.15" customHeight="1" thickBot="1" x14ac:dyDescent="0.45">
      <c r="B10" s="8"/>
      <c r="C10" s="8"/>
      <c r="D10" s="8"/>
      <c r="E10" s="8"/>
      <c r="F10" s="8"/>
      <c r="G10" s="8"/>
      <c r="H10" s="8"/>
      <c r="I10" s="8"/>
      <c r="J10" s="8"/>
      <c r="K10" s="8"/>
    </row>
    <row r="11" spans="2:12" ht="21.75" customHeight="1" x14ac:dyDescent="0.4">
      <c r="B11" s="308"/>
      <c r="C11" s="309"/>
      <c r="D11" s="310"/>
      <c r="E11" s="309"/>
      <c r="F11" s="311"/>
      <c r="G11" s="500" t="s">
        <v>304</v>
      </c>
      <c r="H11" s="500" t="s">
        <v>299</v>
      </c>
      <c r="I11" s="500" t="s">
        <v>293</v>
      </c>
      <c r="J11" s="502" t="s">
        <v>301</v>
      </c>
      <c r="K11" s="502"/>
      <c r="L11" s="500" t="s">
        <v>296</v>
      </c>
    </row>
    <row r="12" spans="2:12" ht="30" customHeight="1" thickBot="1" x14ac:dyDescent="0.45">
      <c r="B12" s="312" t="s">
        <v>5</v>
      </c>
      <c r="C12" s="313"/>
      <c r="D12" s="314" t="s">
        <v>309</v>
      </c>
      <c r="E12" s="313"/>
      <c r="F12" s="315" t="s">
        <v>1</v>
      </c>
      <c r="G12" s="501"/>
      <c r="H12" s="501"/>
      <c r="I12" s="501"/>
      <c r="J12" s="316" t="s">
        <v>302</v>
      </c>
      <c r="K12" s="317" t="s">
        <v>303</v>
      </c>
      <c r="L12" s="501"/>
    </row>
    <row r="13" spans="2:12" ht="16.2" customHeight="1" x14ac:dyDescent="0.4">
      <c r="B13" s="137" t="s">
        <v>60</v>
      </c>
      <c r="C13" s="19"/>
      <c r="D13" s="155"/>
      <c r="E13" s="19"/>
      <c r="F13" s="170"/>
      <c r="G13" s="110"/>
      <c r="H13" s="110"/>
      <c r="I13" s="157"/>
      <c r="J13" s="178"/>
      <c r="K13" s="183"/>
      <c r="L13" s="186"/>
    </row>
    <row r="14" spans="2:12" ht="16.2" customHeight="1" x14ac:dyDescent="0.4">
      <c r="B14" s="138" t="s">
        <v>25</v>
      </c>
      <c r="C14" s="139" t="s">
        <v>245</v>
      </c>
      <c r="D14" s="140">
        <v>2708</v>
      </c>
      <c r="E14" s="141"/>
      <c r="F14" s="171" t="s">
        <v>33</v>
      </c>
      <c r="G14" s="158">
        <v>100</v>
      </c>
      <c r="H14" s="158"/>
      <c r="I14" s="140"/>
      <c r="J14" s="114"/>
      <c r="K14" s="184"/>
      <c r="L14" s="163"/>
    </row>
    <row r="15" spans="2:12" ht="16.2" customHeight="1" x14ac:dyDescent="0.4">
      <c r="B15" s="138" t="s">
        <v>25</v>
      </c>
      <c r="C15" s="141"/>
      <c r="D15" s="140">
        <v>2711</v>
      </c>
      <c r="E15" s="141"/>
      <c r="F15" s="172" t="s">
        <v>41</v>
      </c>
      <c r="G15" s="158">
        <v>100</v>
      </c>
      <c r="H15" s="158"/>
      <c r="I15" s="140"/>
      <c r="J15" s="114"/>
      <c r="K15" s="184"/>
      <c r="L15" s="163"/>
    </row>
    <row r="16" spans="2:12" ht="16.2" customHeight="1" x14ac:dyDescent="0.4">
      <c r="B16" s="138" t="s">
        <v>25</v>
      </c>
      <c r="C16" s="141"/>
      <c r="D16" s="140">
        <f>1+D15</f>
        <v>2712</v>
      </c>
      <c r="E16" s="141"/>
      <c r="F16" s="172" t="s">
        <v>472</v>
      </c>
      <c r="G16" s="158">
        <v>100</v>
      </c>
      <c r="H16" s="159"/>
      <c r="I16" s="160" t="s">
        <v>245</v>
      </c>
      <c r="J16" s="114" t="s">
        <v>245</v>
      </c>
      <c r="K16" s="185" t="s">
        <v>245</v>
      </c>
      <c r="L16" s="167" t="s">
        <v>245</v>
      </c>
    </row>
    <row r="17" spans="2:13" ht="18" customHeight="1" x14ac:dyDescent="0.4">
      <c r="B17" s="154" t="s">
        <v>307</v>
      </c>
      <c r="D17" s="111"/>
      <c r="F17" s="109"/>
      <c r="G17" s="161">
        <f>SUM(G14:G16)</f>
        <v>300</v>
      </c>
      <c r="H17" s="161"/>
      <c r="I17" s="162">
        <f>G17-J17</f>
        <v>0</v>
      </c>
      <c r="J17" s="114">
        <v>300</v>
      </c>
      <c r="K17" s="185">
        <v>700</v>
      </c>
      <c r="L17" s="198">
        <f>J17+K17</f>
        <v>1000</v>
      </c>
    </row>
    <row r="18" spans="2:13" ht="16.2" customHeight="1" x14ac:dyDescent="0.4">
      <c r="B18" s="138">
        <v>14</v>
      </c>
      <c r="C18" s="141"/>
      <c r="D18" s="140">
        <v>2713</v>
      </c>
      <c r="E18" s="141"/>
      <c r="F18" s="172" t="s">
        <v>473</v>
      </c>
      <c r="G18" s="158">
        <v>100</v>
      </c>
      <c r="H18" s="159"/>
      <c r="I18" s="140"/>
      <c r="J18" s="114"/>
      <c r="K18" s="185"/>
      <c r="L18" s="166" t="s">
        <v>245</v>
      </c>
    </row>
    <row r="19" spans="2:13" ht="16.2" customHeight="1" x14ac:dyDescent="0.4">
      <c r="B19" s="138">
        <v>14</v>
      </c>
      <c r="C19" s="141"/>
      <c r="D19" s="140">
        <f>1+D18</f>
        <v>2714</v>
      </c>
      <c r="E19" s="141"/>
      <c r="F19" s="172" t="s">
        <v>41</v>
      </c>
      <c r="G19" s="158">
        <v>100</v>
      </c>
      <c r="H19" s="159"/>
      <c r="I19" s="140"/>
      <c r="J19" s="114"/>
      <c r="K19" s="185"/>
      <c r="L19" s="166"/>
    </row>
    <row r="20" spans="2:13" ht="16.2" customHeight="1" x14ac:dyDescent="0.4">
      <c r="B20" s="138">
        <v>14</v>
      </c>
      <c r="C20" s="141"/>
      <c r="D20" s="140">
        <f t="shared" ref="D20:D25" si="0">1+D19</f>
        <v>2715</v>
      </c>
      <c r="E20" s="141"/>
      <c r="F20" s="172" t="s">
        <v>474</v>
      </c>
      <c r="G20" s="158">
        <v>100</v>
      </c>
      <c r="H20" s="159"/>
      <c r="I20" s="140"/>
      <c r="J20" s="114"/>
      <c r="K20" s="185"/>
      <c r="L20" s="166"/>
    </row>
    <row r="21" spans="2:13" ht="16.2" customHeight="1" x14ac:dyDescent="0.4">
      <c r="B21" s="138">
        <v>14</v>
      </c>
      <c r="C21" s="141"/>
      <c r="D21" s="140">
        <f t="shared" si="0"/>
        <v>2716</v>
      </c>
      <c r="E21" s="141"/>
      <c r="F21" s="172" t="s">
        <v>75</v>
      </c>
      <c r="G21" s="158">
        <v>100</v>
      </c>
      <c r="H21" s="159"/>
      <c r="I21" s="140"/>
      <c r="J21" s="114"/>
      <c r="K21" s="185"/>
      <c r="L21" s="166"/>
    </row>
    <row r="22" spans="2:13" ht="16.2" customHeight="1" x14ac:dyDescent="0.4">
      <c r="B22" s="138">
        <v>14</v>
      </c>
      <c r="C22" s="141"/>
      <c r="D22" s="140">
        <f t="shared" si="0"/>
        <v>2717</v>
      </c>
      <c r="E22" s="141"/>
      <c r="F22" s="172" t="s">
        <v>403</v>
      </c>
      <c r="G22" s="158">
        <v>100</v>
      </c>
      <c r="H22" s="159"/>
      <c r="I22" s="140"/>
      <c r="J22" s="114"/>
      <c r="K22" s="185"/>
      <c r="L22" s="166"/>
    </row>
    <row r="23" spans="2:13" ht="16.2" customHeight="1" x14ac:dyDescent="0.4">
      <c r="B23" s="138">
        <v>14</v>
      </c>
      <c r="C23" s="141"/>
      <c r="D23" s="140">
        <f t="shared" si="0"/>
        <v>2718</v>
      </c>
      <c r="E23" s="141"/>
      <c r="F23" s="172" t="s">
        <v>232</v>
      </c>
      <c r="G23" s="158">
        <v>100</v>
      </c>
      <c r="H23" s="159"/>
      <c r="I23" s="140"/>
      <c r="J23" s="114"/>
      <c r="K23" s="185"/>
      <c r="L23" s="166"/>
    </row>
    <row r="24" spans="2:13" ht="16.2" customHeight="1" x14ac:dyDescent="0.4">
      <c r="B24" s="138">
        <v>14</v>
      </c>
      <c r="C24" s="141"/>
      <c r="D24" s="140">
        <f t="shared" si="0"/>
        <v>2719</v>
      </c>
      <c r="E24" s="141"/>
      <c r="F24" s="172" t="s">
        <v>157</v>
      </c>
      <c r="G24" s="158">
        <v>200</v>
      </c>
      <c r="H24" s="159"/>
      <c r="I24" s="140"/>
      <c r="J24" s="114"/>
      <c r="K24" s="185"/>
      <c r="L24" s="166"/>
    </row>
    <row r="25" spans="2:13" ht="16.2" customHeight="1" x14ac:dyDescent="0.4">
      <c r="B25" s="138">
        <v>14</v>
      </c>
      <c r="C25" s="141"/>
      <c r="D25" s="140">
        <f t="shared" si="0"/>
        <v>2720</v>
      </c>
      <c r="E25" s="141"/>
      <c r="F25" s="172" t="s">
        <v>382</v>
      </c>
      <c r="G25" s="158">
        <v>100</v>
      </c>
      <c r="H25" s="159"/>
      <c r="I25" s="140"/>
      <c r="J25" s="114"/>
      <c r="K25" s="185"/>
      <c r="L25" s="166"/>
    </row>
    <row r="26" spans="2:13" ht="16.2" customHeight="1" x14ac:dyDescent="0.4">
      <c r="B26" s="154" t="s">
        <v>307</v>
      </c>
      <c r="C26" s="141"/>
      <c r="D26" s="140"/>
      <c r="E26" s="141"/>
      <c r="F26" s="172"/>
      <c r="G26" s="289">
        <f>SUM(G18:G25)</f>
        <v>900</v>
      </c>
      <c r="H26" s="159"/>
      <c r="I26" s="162">
        <f>G26-J26</f>
        <v>0</v>
      </c>
      <c r="J26" s="114">
        <v>900</v>
      </c>
      <c r="K26" s="185">
        <v>100</v>
      </c>
      <c r="L26" s="198">
        <f>J26+K26</f>
        <v>1000</v>
      </c>
    </row>
    <row r="27" spans="2:13" ht="16.2" customHeight="1" x14ac:dyDescent="0.4">
      <c r="B27" s="138">
        <v>21</v>
      </c>
      <c r="C27" s="141"/>
      <c r="D27" s="140">
        <v>2721</v>
      </c>
      <c r="E27" s="141"/>
      <c r="F27" s="172" t="s">
        <v>201</v>
      </c>
      <c r="G27" s="158">
        <v>200</v>
      </c>
      <c r="H27" s="159"/>
      <c r="I27" s="140"/>
      <c r="J27" s="114"/>
      <c r="K27" s="185"/>
      <c r="L27" s="166"/>
    </row>
    <row r="28" spans="2:13" ht="16.2" customHeight="1" x14ac:dyDescent="0.4">
      <c r="B28" s="138">
        <v>21</v>
      </c>
      <c r="C28" s="141"/>
      <c r="D28" s="140">
        <f>1+D27</f>
        <v>2722</v>
      </c>
      <c r="E28" s="141"/>
      <c r="F28" s="172" t="s">
        <v>41</v>
      </c>
      <c r="G28" s="158">
        <v>100</v>
      </c>
      <c r="H28" s="159"/>
      <c r="I28" s="140"/>
      <c r="J28" s="114"/>
      <c r="K28" s="185"/>
      <c r="L28" s="166"/>
    </row>
    <row r="29" spans="2:13" ht="16.2" customHeight="1" x14ac:dyDescent="0.4">
      <c r="B29" s="138">
        <v>21</v>
      </c>
      <c r="C29" s="141"/>
      <c r="D29" s="140">
        <f>1+D28</f>
        <v>2723</v>
      </c>
      <c r="E29" s="141"/>
      <c r="F29" s="172" t="s">
        <v>33</v>
      </c>
      <c r="G29" s="158">
        <v>100</v>
      </c>
      <c r="H29" s="159"/>
      <c r="I29" s="140"/>
      <c r="J29" s="114"/>
      <c r="K29" s="185"/>
      <c r="L29" s="166"/>
    </row>
    <row r="30" spans="2:13" ht="16.2" customHeight="1" x14ac:dyDescent="0.4">
      <c r="B30" s="138">
        <v>21</v>
      </c>
      <c r="C30" s="141"/>
      <c r="D30" s="140">
        <f>1+D29</f>
        <v>2724</v>
      </c>
      <c r="E30" s="141"/>
      <c r="F30" s="172" t="s">
        <v>75</v>
      </c>
      <c r="G30" s="158">
        <v>100</v>
      </c>
      <c r="H30" s="159"/>
      <c r="I30" s="140"/>
      <c r="J30" s="114"/>
      <c r="K30" s="185"/>
      <c r="L30" s="166"/>
    </row>
    <row r="31" spans="2:13" ht="16.2" customHeight="1" x14ac:dyDescent="0.4">
      <c r="B31" s="138">
        <v>21</v>
      </c>
      <c r="C31" s="141"/>
      <c r="D31" s="140">
        <f>1+D30</f>
        <v>2725</v>
      </c>
      <c r="E31" s="141"/>
      <c r="F31" s="172" t="s">
        <v>403</v>
      </c>
      <c r="G31" s="158">
        <v>100</v>
      </c>
      <c r="H31" s="159"/>
      <c r="I31" s="140"/>
      <c r="J31" s="114"/>
      <c r="K31" s="185"/>
      <c r="L31" s="166"/>
    </row>
    <row r="32" spans="2:13" ht="18" customHeight="1" x14ac:dyDescent="0.45">
      <c r="B32" s="154" t="s">
        <v>307</v>
      </c>
      <c r="D32" s="111"/>
      <c r="F32" s="298"/>
      <c r="G32" s="306">
        <f>SUM(G27:G31)</f>
        <v>600</v>
      </c>
      <c r="H32" s="306"/>
      <c r="I32" s="162">
        <f>G32-J32</f>
        <v>0</v>
      </c>
      <c r="J32" s="142">
        <v>600</v>
      </c>
      <c r="K32" s="185">
        <v>400</v>
      </c>
      <c r="L32" s="198">
        <f>J32+K32</f>
        <v>1000</v>
      </c>
      <c r="M32" s="135"/>
    </row>
    <row r="33" spans="2:12" ht="16.2" customHeight="1" x14ac:dyDescent="0.4">
      <c r="B33" s="138">
        <v>28</v>
      </c>
      <c r="C33" s="141"/>
      <c r="D33" s="140">
        <v>2726</v>
      </c>
      <c r="E33" s="141"/>
      <c r="F33" s="172" t="s">
        <v>232</v>
      </c>
      <c r="G33" s="275">
        <v>100</v>
      </c>
      <c r="H33" s="159"/>
      <c r="I33" s="140"/>
      <c r="J33" s="179"/>
      <c r="K33" s="185"/>
      <c r="L33" s="199"/>
    </row>
    <row r="34" spans="2:12" ht="16.2" customHeight="1" x14ac:dyDescent="0.4">
      <c r="B34" s="138">
        <v>28</v>
      </c>
      <c r="C34" s="141"/>
      <c r="D34" s="140">
        <f>1+D33</f>
        <v>2727</v>
      </c>
      <c r="E34" s="141"/>
      <c r="F34" s="172" t="s">
        <v>475</v>
      </c>
      <c r="G34" s="275">
        <v>150</v>
      </c>
      <c r="H34" s="159"/>
      <c r="I34" s="140"/>
      <c r="J34" s="179"/>
      <c r="K34" s="185"/>
      <c r="L34" s="199"/>
    </row>
    <row r="35" spans="2:12" ht="16.2" customHeight="1" x14ac:dyDescent="0.4">
      <c r="B35" s="138">
        <v>28</v>
      </c>
      <c r="C35" s="141"/>
      <c r="D35" s="140">
        <f t="shared" ref="D35:D40" si="1">1+D34</f>
        <v>2728</v>
      </c>
      <c r="E35" s="141"/>
      <c r="F35" s="172" t="s">
        <v>88</v>
      </c>
      <c r="G35" s="275">
        <v>100</v>
      </c>
      <c r="H35" s="159"/>
      <c r="I35" s="140"/>
      <c r="J35" s="179"/>
      <c r="K35" s="185"/>
      <c r="L35" s="199"/>
    </row>
    <row r="36" spans="2:12" ht="16.2" customHeight="1" x14ac:dyDescent="0.4">
      <c r="B36" s="138">
        <v>28</v>
      </c>
      <c r="C36" s="141"/>
      <c r="D36" s="140">
        <f t="shared" si="1"/>
        <v>2729</v>
      </c>
      <c r="E36" s="141"/>
      <c r="F36" s="172" t="s">
        <v>75</v>
      </c>
      <c r="G36" s="275">
        <v>100</v>
      </c>
      <c r="H36" s="159"/>
      <c r="I36" s="140"/>
      <c r="J36" s="142"/>
      <c r="K36" s="185"/>
      <c r="L36" s="199"/>
    </row>
    <row r="37" spans="2:12" ht="16.2" customHeight="1" x14ac:dyDescent="0.4">
      <c r="B37" s="138">
        <v>28</v>
      </c>
      <c r="C37" s="141"/>
      <c r="D37" s="140">
        <f t="shared" si="1"/>
        <v>2730</v>
      </c>
      <c r="E37" s="141"/>
      <c r="F37" s="172" t="s">
        <v>476</v>
      </c>
      <c r="G37" s="275">
        <v>100</v>
      </c>
      <c r="H37" s="159"/>
      <c r="I37" s="140"/>
      <c r="J37" s="142"/>
      <c r="K37" s="185"/>
      <c r="L37" s="199"/>
    </row>
    <row r="38" spans="2:12" ht="16.2" customHeight="1" x14ac:dyDescent="0.4">
      <c r="B38" s="138">
        <v>28</v>
      </c>
      <c r="C38" s="141"/>
      <c r="D38" s="140">
        <f t="shared" si="1"/>
        <v>2731</v>
      </c>
      <c r="E38" s="141"/>
      <c r="F38" s="172" t="s">
        <v>477</v>
      </c>
      <c r="G38" s="275">
        <v>100</v>
      </c>
      <c r="H38" s="159"/>
      <c r="I38" s="140"/>
      <c r="J38" s="142"/>
      <c r="K38" s="185"/>
      <c r="L38" s="199"/>
    </row>
    <row r="39" spans="2:12" ht="16.2" customHeight="1" x14ac:dyDescent="0.4">
      <c r="B39" s="138">
        <v>28</v>
      </c>
      <c r="C39" s="141"/>
      <c r="D39" s="140">
        <f t="shared" si="1"/>
        <v>2732</v>
      </c>
      <c r="E39" s="141"/>
      <c r="F39" s="172" t="s">
        <v>157</v>
      </c>
      <c r="G39" s="275">
        <v>100</v>
      </c>
      <c r="H39" s="159"/>
      <c r="I39" s="140"/>
      <c r="J39" s="142"/>
      <c r="K39" s="185"/>
      <c r="L39" s="199"/>
    </row>
    <row r="40" spans="2:12" ht="16.2" customHeight="1" x14ac:dyDescent="0.4">
      <c r="B40" s="138">
        <v>28</v>
      </c>
      <c r="C40" s="141"/>
      <c r="D40" s="140">
        <f t="shared" si="1"/>
        <v>2733</v>
      </c>
      <c r="E40" s="141"/>
      <c r="F40" s="172" t="s">
        <v>478</v>
      </c>
      <c r="G40" s="275">
        <v>100</v>
      </c>
      <c r="H40" s="159"/>
      <c r="I40" s="140"/>
      <c r="J40" s="142"/>
      <c r="K40" s="185"/>
      <c r="L40" s="199"/>
    </row>
    <row r="41" spans="2:12" ht="18" customHeight="1" thickBot="1" x14ac:dyDescent="0.45">
      <c r="B41" s="154" t="s">
        <v>307</v>
      </c>
      <c r="D41" s="111"/>
      <c r="F41" s="109"/>
      <c r="G41" s="167">
        <f>SUM(G33:G40)</f>
        <v>850</v>
      </c>
      <c r="H41" s="167"/>
      <c r="I41" s="162">
        <f>G41-J41</f>
        <v>0</v>
      </c>
      <c r="J41" s="180">
        <v>850</v>
      </c>
      <c r="K41" s="181">
        <v>150</v>
      </c>
      <c r="L41" s="198">
        <f>J41+K41</f>
        <v>1000</v>
      </c>
    </row>
    <row r="42" spans="2:12" ht="22.2" customHeight="1" thickBot="1" x14ac:dyDescent="0.45">
      <c r="B42" s="318" t="s">
        <v>297</v>
      </c>
      <c r="C42" s="319"/>
      <c r="D42" s="320"/>
      <c r="E42" s="321"/>
      <c r="F42" s="319"/>
      <c r="G42" s="322">
        <f>G17+G26+G32+G41</f>
        <v>2650</v>
      </c>
      <c r="H42" s="322"/>
      <c r="I42" s="322">
        <f>I17+I32+I26+I41</f>
        <v>0</v>
      </c>
      <c r="J42" s="322">
        <f>J17+J26+J32+J41</f>
        <v>2650</v>
      </c>
      <c r="K42" s="322">
        <f>K17+K26+K32+K41</f>
        <v>1350</v>
      </c>
      <c r="L42" s="322">
        <f>L17+L26+L32+L41</f>
        <v>4000</v>
      </c>
    </row>
    <row r="43" spans="2:12" ht="16.2" customHeight="1" x14ac:dyDescent="0.4">
      <c r="B43" s="9"/>
      <c r="C43" s="8"/>
      <c r="D43" s="19"/>
      <c r="E43" s="19"/>
      <c r="F43" s="8"/>
      <c r="G43" s="10"/>
      <c r="H43" s="10"/>
      <c r="I43" s="14" t="s">
        <v>245</v>
      </c>
      <c r="J43" s="14" t="s">
        <v>245</v>
      </c>
      <c r="K43" s="12"/>
      <c r="L43" s="15" t="s">
        <v>245</v>
      </c>
    </row>
    <row r="44" spans="2:12" ht="16.2" customHeight="1" x14ac:dyDescent="0.4">
      <c r="B44" s="9"/>
      <c r="C44" s="8"/>
      <c r="D44" s="19"/>
      <c r="E44" s="19"/>
      <c r="F44" s="8"/>
      <c r="G44" s="10"/>
      <c r="H44" s="10"/>
      <c r="I44" s="14" t="s">
        <v>245</v>
      </c>
      <c r="J44" s="14"/>
      <c r="K44" s="12"/>
      <c r="L44" s="15"/>
    </row>
    <row r="45" spans="2:12" ht="14.15" customHeight="1" x14ac:dyDescent="0.4">
      <c r="B45" s="9"/>
      <c r="C45" s="8"/>
      <c r="D45" s="19"/>
      <c r="E45" s="19"/>
      <c r="F45" s="8"/>
      <c r="G45" s="10"/>
      <c r="H45" s="10"/>
      <c r="I45" s="14"/>
      <c r="J45" s="14"/>
      <c r="K45" s="12"/>
      <c r="L45" s="15"/>
    </row>
    <row r="46" spans="2:12" ht="14.15" customHeight="1" x14ac:dyDescent="0.4">
      <c r="B46" s="8"/>
      <c r="C46" s="8"/>
      <c r="D46" s="8" t="s">
        <v>245</v>
      </c>
      <c r="E46" s="8"/>
      <c r="F46" s="8"/>
      <c r="G46" s="8"/>
      <c r="H46" s="8"/>
      <c r="I46" s="8"/>
      <c r="J46" s="8"/>
      <c r="K46" s="8"/>
    </row>
    <row r="47" spans="2:12" ht="14.15" customHeight="1" x14ac:dyDescent="0.4">
      <c r="B47" s="8"/>
      <c r="C47" s="8"/>
      <c r="D47" s="19" t="s">
        <v>245</v>
      </c>
      <c r="E47" s="8"/>
      <c r="F47" s="19" t="s">
        <v>245</v>
      </c>
      <c r="G47" s="8"/>
      <c r="H47" s="8"/>
      <c r="I47" s="8"/>
      <c r="J47" s="8"/>
      <c r="K47" s="8"/>
    </row>
    <row r="48" spans="2:12" ht="14.15" customHeight="1" x14ac:dyDescent="0.4">
      <c r="B48" s="8"/>
      <c r="C48" s="8"/>
      <c r="D48" s="8"/>
      <c r="E48" s="8"/>
      <c r="F48" s="19"/>
      <c r="G48" s="8"/>
      <c r="H48" s="8"/>
      <c r="I48" s="8"/>
      <c r="J48" s="8"/>
      <c r="K48" s="8"/>
    </row>
    <row r="49" spans="2:11" ht="14.15" customHeight="1" x14ac:dyDescent="0.4">
      <c r="B49" s="8"/>
      <c r="C49" s="8"/>
      <c r="D49" s="8"/>
      <c r="E49" s="8"/>
      <c r="F49" s="19"/>
      <c r="G49" s="8"/>
      <c r="H49" s="8"/>
      <c r="I49" s="8"/>
      <c r="J49" s="8"/>
      <c r="K49" s="8"/>
    </row>
    <row r="50" spans="2:11" ht="14.15" customHeight="1" x14ac:dyDescent="0.4">
      <c r="B50" s="8"/>
      <c r="C50" s="8"/>
      <c r="D50" s="8"/>
      <c r="E50" s="8"/>
      <c r="F50" s="19"/>
      <c r="G50" s="8"/>
      <c r="H50" s="8"/>
      <c r="I50" s="8"/>
      <c r="J50" s="8"/>
      <c r="K50" s="8"/>
    </row>
    <row r="51" spans="2:11" ht="14.15" customHeight="1" x14ac:dyDescent="0.4">
      <c r="B51" s="267" t="s">
        <v>483</v>
      </c>
      <c r="C51" s="267"/>
      <c r="D51" s="267"/>
      <c r="E51" s="267"/>
      <c r="F51" s="19"/>
      <c r="G51" s="8"/>
      <c r="H51" s="8"/>
      <c r="I51" s="8"/>
      <c r="J51" s="8"/>
      <c r="K51" s="8"/>
    </row>
    <row r="52" spans="2:11" ht="14.15" customHeight="1" thickBot="1" x14ac:dyDescent="0.45">
      <c r="B52" s="19" t="s">
        <v>245</v>
      </c>
      <c r="C52" s="8"/>
      <c r="D52" s="8"/>
      <c r="E52" s="8"/>
      <c r="F52" s="19"/>
      <c r="G52" s="19"/>
      <c r="H52" s="19"/>
      <c r="I52" s="19"/>
      <c r="J52" s="19"/>
      <c r="K52" s="19"/>
    </row>
    <row r="53" spans="2:11" ht="18" customHeight="1" thickBot="1" x14ac:dyDescent="0.45">
      <c r="B53" s="469" t="s">
        <v>311</v>
      </c>
      <c r="C53" s="470"/>
      <c r="D53" s="470"/>
      <c r="E53" s="471"/>
      <c r="F53" s="209" t="s">
        <v>123</v>
      </c>
      <c r="G53" s="19"/>
      <c r="H53" s="19"/>
      <c r="I53" s="19"/>
      <c r="J53" s="19"/>
      <c r="K53" s="19"/>
    </row>
    <row r="54" spans="2:11" ht="15" customHeight="1" x14ac:dyDescent="0.4">
      <c r="B54" s="276" t="s">
        <v>60</v>
      </c>
      <c r="C54" s="277" t="s">
        <v>25</v>
      </c>
      <c r="D54" s="277" t="s">
        <v>245</v>
      </c>
      <c r="E54" s="277"/>
      <c r="F54" s="278">
        <v>1000</v>
      </c>
      <c r="G54" s="41"/>
      <c r="H54" s="41"/>
      <c r="I54" s="8"/>
      <c r="J54" s="201"/>
      <c r="K54" s="8"/>
    </row>
    <row r="55" spans="2:11" ht="15" customHeight="1" x14ac:dyDescent="0.4">
      <c r="B55" s="279" t="s">
        <v>60</v>
      </c>
      <c r="C55" s="280">
        <v>14</v>
      </c>
      <c r="D55" s="280" t="s">
        <v>245</v>
      </c>
      <c r="E55" s="280"/>
      <c r="F55" s="282">
        <v>1000</v>
      </c>
      <c r="G55" s="10"/>
      <c r="H55" s="10"/>
      <c r="I55" s="10"/>
      <c r="J55" s="202"/>
      <c r="K55" s="10"/>
    </row>
    <row r="56" spans="2:11" ht="15" customHeight="1" x14ac:dyDescent="0.4">
      <c r="B56" s="279" t="s">
        <v>60</v>
      </c>
      <c r="C56" s="280">
        <v>21</v>
      </c>
      <c r="D56" s="280" t="s">
        <v>245</v>
      </c>
      <c r="E56" s="280"/>
      <c r="F56" s="282">
        <v>1000</v>
      </c>
      <c r="G56" s="10"/>
      <c r="H56" s="10"/>
      <c r="I56" s="10"/>
      <c r="J56" s="201"/>
      <c r="K56" s="8"/>
    </row>
    <row r="57" spans="2:11" ht="15" customHeight="1" thickBot="1" x14ac:dyDescent="0.45">
      <c r="B57" s="279" t="s">
        <v>60</v>
      </c>
      <c r="C57" s="283">
        <v>28</v>
      </c>
      <c r="D57" s="283" t="s">
        <v>245</v>
      </c>
      <c r="E57" s="283"/>
      <c r="F57" s="284">
        <v>1000</v>
      </c>
      <c r="G57" s="10"/>
      <c r="H57" s="10"/>
      <c r="I57" s="10"/>
      <c r="J57" s="201"/>
      <c r="K57" s="10"/>
    </row>
    <row r="58" spans="2:11" ht="8.15" customHeight="1" x14ac:dyDescent="0.4">
      <c r="B58" s="210"/>
      <c r="C58" s="211"/>
      <c r="D58" s="212" t="s">
        <v>245</v>
      </c>
      <c r="E58" s="212"/>
      <c r="F58" s="213"/>
      <c r="G58" s="10"/>
      <c r="H58" s="10"/>
      <c r="I58" s="21"/>
      <c r="J58" s="201"/>
      <c r="K58" s="10"/>
    </row>
    <row r="59" spans="2:11" ht="14.15" customHeight="1" thickBot="1" x14ac:dyDescent="0.45">
      <c r="B59" s="466" t="s">
        <v>296</v>
      </c>
      <c r="C59" s="467"/>
      <c r="D59" s="467"/>
      <c r="E59" s="214"/>
      <c r="F59" s="215">
        <f>SUM(F54:F57)</f>
        <v>4000</v>
      </c>
      <c r="G59" s="10"/>
      <c r="H59" s="10"/>
      <c r="I59" s="21"/>
      <c r="J59" s="203"/>
      <c r="K59" s="10"/>
    </row>
    <row r="60" spans="2:11" ht="15.45" x14ac:dyDescent="0.4">
      <c r="B60" s="26"/>
      <c r="C60" s="8"/>
      <c r="D60" s="8"/>
      <c r="E60" s="8"/>
      <c r="F60" s="8"/>
      <c r="G60" s="10"/>
      <c r="H60" s="10"/>
      <c r="I60" s="27"/>
      <c r="J60" s="27"/>
      <c r="K60" s="10"/>
    </row>
    <row r="61" spans="2:11" ht="15.45" x14ac:dyDescent="0.4">
      <c r="B61" s="25"/>
      <c r="C61" s="8"/>
      <c r="D61" s="8"/>
      <c r="E61" s="8"/>
      <c r="F61" s="8"/>
      <c r="G61" s="41"/>
      <c r="H61" s="41"/>
      <c r="I61" s="21"/>
      <c r="J61" s="27"/>
      <c r="K61" s="10"/>
    </row>
    <row r="62" spans="2:11" ht="15.45" x14ac:dyDescent="0.4">
      <c r="B62" s="26"/>
      <c r="C62" s="8"/>
      <c r="D62" s="6"/>
      <c r="E62" s="6"/>
      <c r="F62" s="8"/>
      <c r="G62" s="10"/>
      <c r="H62" s="10"/>
      <c r="I62" s="10"/>
      <c r="J62" s="8"/>
      <c r="K62" s="10"/>
    </row>
    <row r="63" spans="2:11" ht="15.45" x14ac:dyDescent="0.4">
      <c r="F63" s="8"/>
      <c r="I63" s="27"/>
    </row>
  </sheetData>
  <mergeCells count="9">
    <mergeCell ref="B53:E53"/>
    <mergeCell ref="B59:D59"/>
    <mergeCell ref="B7:L7"/>
    <mergeCell ref="F9:J9"/>
    <mergeCell ref="G11:G12"/>
    <mergeCell ref="H11:H12"/>
    <mergeCell ref="I11:I12"/>
    <mergeCell ref="J11:K11"/>
    <mergeCell ref="L11:L12"/>
  </mergeCells>
  <pageMargins left="0" right="0" top="0" bottom="0" header="0.31496062992125984" footer="0.31496062992125984"/>
  <pageSetup paperSize="9" scale="80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C9075C-28ED-43B0-8935-BCFA5938BACE}">
  <dimension ref="B1:S80"/>
  <sheetViews>
    <sheetView topLeftCell="A53" workbookViewId="0">
      <selection activeCell="H85" sqref="H85"/>
    </sheetView>
  </sheetViews>
  <sheetFormatPr defaultRowHeight="14.6" x14ac:dyDescent="0.4"/>
  <cols>
    <col min="1" max="1" width="3.3046875" customWidth="1"/>
    <col min="2" max="2" width="1.3046875" customWidth="1"/>
    <col min="3" max="3" width="16.69140625" customWidth="1"/>
    <col min="4" max="4" width="0.53515625" customWidth="1"/>
    <col min="6" max="6" width="0.84375" customWidth="1"/>
    <col min="7" max="7" width="12" customWidth="1"/>
    <col min="8" max="8" width="18.69140625" customWidth="1"/>
    <col min="9" max="9" width="16.53515625" customWidth="1"/>
    <col min="10" max="10" width="12.4609375" customWidth="1"/>
    <col min="11" max="11" width="16.07421875" customWidth="1"/>
    <col min="12" max="12" width="3" customWidth="1"/>
    <col min="13" max="13" width="17.07421875" customWidth="1"/>
    <col min="14" max="14" width="1" customWidth="1"/>
    <col min="15" max="15" width="12.84375" customWidth="1"/>
    <col min="16" max="16" width="9.53515625" bestFit="1" customWidth="1"/>
    <col min="17" max="17" width="9.84375" customWidth="1"/>
  </cols>
  <sheetData>
    <row r="1" spans="3:15" ht="6" customHeight="1" x14ac:dyDescent="0.4"/>
    <row r="2" spans="3:15" ht="6" customHeight="1" x14ac:dyDescent="0.4"/>
    <row r="3" spans="3:15" ht="6" customHeight="1" x14ac:dyDescent="0.4"/>
    <row r="4" spans="3:15" ht="20.149999999999999" customHeight="1" x14ac:dyDescent="0.4">
      <c r="C4" s="476" t="s">
        <v>0</v>
      </c>
      <c r="D4" s="476"/>
      <c r="E4" s="476"/>
      <c r="F4" s="476"/>
      <c r="G4" s="476"/>
      <c r="H4" s="476"/>
      <c r="I4" s="476"/>
      <c r="J4" s="476"/>
      <c r="K4" s="476"/>
      <c r="L4" s="476"/>
      <c r="M4" s="476"/>
      <c r="N4" s="476"/>
    </row>
    <row r="5" spans="3:15" ht="20.149999999999999" customHeight="1" x14ac:dyDescent="0.45">
      <c r="C5" s="492" t="s">
        <v>333</v>
      </c>
      <c r="D5" s="492"/>
      <c r="E5" s="492"/>
      <c r="F5" s="492"/>
      <c r="G5" s="492"/>
      <c r="H5" s="492"/>
      <c r="I5" s="492"/>
      <c r="J5" s="492"/>
      <c r="K5" s="492"/>
      <c r="L5" s="492"/>
      <c r="M5" s="492"/>
      <c r="N5" s="243"/>
    </row>
    <row r="6" spans="3:15" ht="20.149999999999999" customHeight="1" x14ac:dyDescent="0.45">
      <c r="C6" s="492" t="s">
        <v>245</v>
      </c>
      <c r="D6" s="492"/>
      <c r="E6" s="492"/>
      <c r="F6" s="492"/>
      <c r="G6" s="492"/>
      <c r="H6" s="492"/>
      <c r="I6" s="492"/>
      <c r="J6" s="492"/>
      <c r="K6" s="492"/>
      <c r="L6" s="492"/>
      <c r="M6" s="492"/>
      <c r="N6" s="243"/>
    </row>
    <row r="7" spans="3:15" ht="20.149999999999999" customHeight="1" x14ac:dyDescent="0.45">
      <c r="C7" s="476" t="s">
        <v>318</v>
      </c>
      <c r="D7" s="476"/>
      <c r="E7" s="476"/>
      <c r="F7" s="476"/>
      <c r="G7" s="476"/>
      <c r="H7" s="476"/>
      <c r="I7" s="476"/>
      <c r="J7" s="476"/>
      <c r="K7" s="476"/>
      <c r="L7" s="476"/>
      <c r="M7" s="476"/>
      <c r="N7" s="243"/>
    </row>
    <row r="8" spans="3:15" ht="20.149999999999999" customHeight="1" x14ac:dyDescent="0.45">
      <c r="C8" s="476" t="s">
        <v>484</v>
      </c>
      <c r="D8" s="476"/>
      <c r="E8" s="476"/>
      <c r="F8" s="476"/>
      <c r="G8" s="476"/>
      <c r="H8" s="476"/>
      <c r="I8" s="476"/>
      <c r="J8" s="476"/>
      <c r="K8" s="476"/>
      <c r="L8" s="476"/>
      <c r="M8" s="476"/>
      <c r="N8" s="221"/>
    </row>
    <row r="9" spans="3:15" ht="15" customHeight="1" x14ac:dyDescent="0.4"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</row>
    <row r="10" spans="3:15" ht="15" customHeight="1" x14ac:dyDescent="0.45">
      <c r="C10" s="220" t="s">
        <v>485</v>
      </c>
      <c r="D10" s="221"/>
      <c r="E10" s="221"/>
      <c r="F10" s="221"/>
      <c r="G10" s="221"/>
      <c r="H10" s="221"/>
      <c r="I10" s="221"/>
      <c r="J10" s="221"/>
      <c r="K10" s="221"/>
      <c r="L10" s="247" t="s">
        <v>326</v>
      </c>
      <c r="M10" s="219">
        <v>5326.4699999999993</v>
      </c>
      <c r="N10" s="8"/>
      <c r="O10" s="135" t="s">
        <v>245</v>
      </c>
    </row>
    <row r="11" spans="3:15" ht="15" customHeight="1" x14ac:dyDescent="0.45">
      <c r="C11" s="221"/>
      <c r="D11" s="221"/>
      <c r="E11" s="221"/>
      <c r="F11" s="221"/>
      <c r="G11" s="221"/>
      <c r="H11" s="221"/>
      <c r="I11" s="221"/>
      <c r="J11" s="221"/>
      <c r="K11" s="221"/>
      <c r="L11" s="8"/>
      <c r="M11" s="8"/>
      <c r="N11" s="8"/>
    </row>
    <row r="12" spans="3:15" ht="15" customHeight="1" x14ac:dyDescent="0.45">
      <c r="C12" s="220" t="s">
        <v>502</v>
      </c>
      <c r="D12" s="220"/>
      <c r="E12" s="221"/>
      <c r="F12" s="221"/>
      <c r="G12" s="221"/>
      <c r="H12" s="221"/>
      <c r="I12" s="221"/>
      <c r="J12" s="221"/>
      <c r="K12" s="221"/>
      <c r="L12" s="8"/>
      <c r="M12" s="8"/>
      <c r="N12" s="8"/>
    </row>
    <row r="13" spans="3:15" ht="15" customHeight="1" x14ac:dyDescent="0.45">
      <c r="C13" s="221"/>
      <c r="D13" s="221"/>
      <c r="E13" s="221"/>
      <c r="F13" s="221"/>
      <c r="G13" s="221"/>
      <c r="H13" s="221"/>
      <c r="I13" s="226" t="s">
        <v>245</v>
      </c>
      <c r="J13" s="226"/>
      <c r="K13" s="226" t="s">
        <v>245</v>
      </c>
      <c r="L13" s="19"/>
      <c r="M13" s="8"/>
      <c r="N13" s="8"/>
    </row>
    <row r="14" spans="3:15" ht="15" customHeight="1" x14ac:dyDescent="0.45">
      <c r="C14" s="476" t="s">
        <v>305</v>
      </c>
      <c r="D14" s="476"/>
      <c r="E14" s="476"/>
      <c r="F14" s="221"/>
      <c r="G14" s="221" t="s">
        <v>320</v>
      </c>
      <c r="H14" s="221"/>
      <c r="I14" s="226"/>
      <c r="J14" s="226"/>
      <c r="K14" s="226"/>
      <c r="L14" s="19"/>
      <c r="M14" s="8"/>
      <c r="N14" s="8"/>
    </row>
    <row r="15" spans="3:15" ht="15" customHeight="1" x14ac:dyDescent="0.45">
      <c r="C15" s="238"/>
      <c r="D15" s="238"/>
      <c r="E15" s="238"/>
      <c r="F15" s="221"/>
      <c r="G15" s="221"/>
      <c r="H15" s="221"/>
      <c r="I15" s="226"/>
      <c r="J15" s="226"/>
      <c r="K15" s="226"/>
      <c r="L15" s="19"/>
      <c r="M15" s="8"/>
      <c r="N15" s="8"/>
    </row>
    <row r="16" spans="3:15" ht="15" customHeight="1" x14ac:dyDescent="0.45">
      <c r="C16" s="476" t="s">
        <v>245</v>
      </c>
      <c r="D16" s="476"/>
      <c r="E16" s="476"/>
      <c r="F16" s="221"/>
      <c r="G16" s="221"/>
      <c r="H16" s="239" t="s">
        <v>316</v>
      </c>
      <c r="I16" s="239" t="s">
        <v>2</v>
      </c>
      <c r="J16" s="239" t="s">
        <v>407</v>
      </c>
      <c r="K16" s="239" t="s">
        <v>306</v>
      </c>
      <c r="L16" s="19"/>
      <c r="M16" s="8"/>
      <c r="N16" s="8"/>
    </row>
    <row r="17" spans="3:16" ht="15" customHeight="1" x14ac:dyDescent="0.45">
      <c r="C17" s="221"/>
      <c r="D17" s="221"/>
      <c r="E17" s="226" t="s">
        <v>245</v>
      </c>
      <c r="F17" s="226"/>
      <c r="G17" s="240" t="s">
        <v>245</v>
      </c>
      <c r="H17" s="222" t="s">
        <v>245</v>
      </c>
      <c r="I17" s="241" t="s">
        <v>245</v>
      </c>
      <c r="J17" s="241"/>
      <c r="K17" s="230" t="s">
        <v>245</v>
      </c>
      <c r="L17" s="201"/>
      <c r="M17" s="8"/>
      <c r="N17" s="8"/>
    </row>
    <row r="18" spans="3:16" ht="20.149999999999999" customHeight="1" x14ac:dyDescent="0.45">
      <c r="C18" s="221"/>
      <c r="D18" s="221"/>
      <c r="E18" s="226" t="s">
        <v>62</v>
      </c>
      <c r="F18" s="226"/>
      <c r="G18" s="240" t="s">
        <v>28</v>
      </c>
      <c r="H18" s="222">
        <v>950</v>
      </c>
      <c r="I18" s="222">
        <v>500</v>
      </c>
      <c r="J18" s="222">
        <v>0</v>
      </c>
      <c r="K18" s="222">
        <f>H18-I18-J18</f>
        <v>450</v>
      </c>
      <c r="L18" s="216"/>
      <c r="M18" s="8"/>
      <c r="N18" s="8"/>
    </row>
    <row r="19" spans="3:16" ht="20.149999999999999" customHeight="1" x14ac:dyDescent="0.45">
      <c r="C19" s="221"/>
      <c r="D19" s="221"/>
      <c r="E19" s="226" t="s">
        <v>62</v>
      </c>
      <c r="F19" s="226"/>
      <c r="G19" s="240">
        <v>11</v>
      </c>
      <c r="H19" s="223">
        <v>1276</v>
      </c>
      <c r="I19" s="222">
        <v>800</v>
      </c>
      <c r="J19" s="222">
        <v>0</v>
      </c>
      <c r="K19" s="222">
        <f>H19-I19</f>
        <v>476</v>
      </c>
      <c r="L19" s="216"/>
      <c r="M19" s="8"/>
      <c r="N19" s="8"/>
      <c r="O19" s="272" t="s">
        <v>245</v>
      </c>
    </row>
    <row r="20" spans="3:16" ht="20.149999999999999" customHeight="1" x14ac:dyDescent="0.45">
      <c r="C20" s="221"/>
      <c r="D20" s="221"/>
      <c r="E20" s="226" t="s">
        <v>62</v>
      </c>
      <c r="F20" s="226"/>
      <c r="G20" s="240">
        <v>18</v>
      </c>
      <c r="H20" s="223">
        <v>2122</v>
      </c>
      <c r="I20" s="222">
        <v>250</v>
      </c>
      <c r="J20" s="222">
        <v>0</v>
      </c>
      <c r="K20" s="222">
        <f>H20-I20</f>
        <v>1872</v>
      </c>
      <c r="L20" s="216"/>
      <c r="M20" s="8"/>
      <c r="N20" s="8"/>
    </row>
    <row r="21" spans="3:16" ht="20.149999999999999" customHeight="1" x14ac:dyDescent="0.75">
      <c r="C21" s="221"/>
      <c r="D21" s="221"/>
      <c r="E21" s="226" t="s">
        <v>62</v>
      </c>
      <c r="F21" s="226"/>
      <c r="G21" s="240">
        <v>25</v>
      </c>
      <c r="H21" s="265">
        <v>1182</v>
      </c>
      <c r="I21" s="266">
        <v>450</v>
      </c>
      <c r="J21" s="266">
        <v>0</v>
      </c>
      <c r="K21" s="266">
        <f>H21-I21</f>
        <v>732</v>
      </c>
      <c r="L21" s="216"/>
      <c r="M21" s="44" t="s">
        <v>245</v>
      </c>
      <c r="N21" s="8"/>
    </row>
    <row r="22" spans="3:16" ht="15" customHeight="1" x14ac:dyDescent="0.45">
      <c r="C22" s="221"/>
      <c r="D22" s="221"/>
      <c r="E22" s="226"/>
      <c r="F22" s="226"/>
      <c r="G22" s="240"/>
      <c r="H22" s="223"/>
      <c r="I22" s="222"/>
      <c r="J22" s="222"/>
      <c r="K22" s="222"/>
      <c r="L22" s="216"/>
      <c r="M22" s="44"/>
      <c r="N22" s="8"/>
    </row>
    <row r="23" spans="3:16" ht="15" customHeight="1" x14ac:dyDescent="0.45">
      <c r="C23" s="221"/>
      <c r="D23" s="221"/>
      <c r="E23" s="238" t="s">
        <v>65</v>
      </c>
      <c r="F23" s="221"/>
      <c r="G23" s="226"/>
      <c r="H23" s="288">
        <f>SUM(H18:H21)</f>
        <v>5530</v>
      </c>
      <c r="I23" s="296">
        <f>SUM(I18:I21)</f>
        <v>2000</v>
      </c>
      <c r="J23" s="288">
        <f>SUM(J18:J21)</f>
        <v>0</v>
      </c>
      <c r="K23" s="248">
        <f>SUM(K18:K21)</f>
        <v>3530</v>
      </c>
      <c r="L23" s="218"/>
      <c r="M23" s="44" t="s">
        <v>245</v>
      </c>
      <c r="N23" s="8"/>
      <c r="O23" s="7" t="s">
        <v>245</v>
      </c>
      <c r="P23" s="135" t="s">
        <v>245</v>
      </c>
    </row>
    <row r="24" spans="3:16" ht="15" customHeight="1" x14ac:dyDescent="0.45">
      <c r="C24" s="221"/>
      <c r="D24" s="221"/>
      <c r="E24" s="221"/>
      <c r="F24" s="221"/>
      <c r="G24" s="226"/>
      <c r="H24" s="224"/>
      <c r="I24" s="222"/>
      <c r="J24" s="222"/>
      <c r="K24" s="222"/>
      <c r="L24" s="216"/>
      <c r="M24" s="44"/>
      <c r="N24" s="8"/>
    </row>
    <row r="25" spans="3:16" ht="15.75" customHeight="1" x14ac:dyDescent="0.45">
      <c r="C25" s="220" t="s">
        <v>245</v>
      </c>
      <c r="D25" s="221"/>
      <c r="E25" s="221"/>
      <c r="F25" s="221"/>
      <c r="G25" s="226"/>
      <c r="H25" s="224"/>
      <c r="I25" s="222"/>
      <c r="J25" s="222"/>
      <c r="K25" s="248" t="s">
        <v>245</v>
      </c>
      <c r="L25" s="216"/>
      <c r="M25" s="44"/>
      <c r="N25" s="8"/>
    </row>
    <row r="26" spans="3:16" ht="15" customHeight="1" x14ac:dyDescent="0.45">
      <c r="C26" s="221"/>
      <c r="D26" s="221"/>
      <c r="E26" s="221"/>
      <c r="F26" s="221"/>
      <c r="G26" s="226"/>
      <c r="H26" s="224"/>
      <c r="I26" s="222"/>
      <c r="J26" s="222"/>
      <c r="K26" s="222"/>
      <c r="L26" s="216"/>
      <c r="M26" s="44"/>
      <c r="N26" s="8"/>
    </row>
    <row r="27" spans="3:16" ht="15" customHeight="1" x14ac:dyDescent="0.45">
      <c r="C27" s="495" t="s">
        <v>376</v>
      </c>
      <c r="D27" s="495"/>
      <c r="E27" s="495"/>
      <c r="F27" s="495"/>
      <c r="G27" s="495"/>
      <c r="H27" s="495"/>
      <c r="I27" s="495"/>
      <c r="J27" s="297"/>
      <c r="K27" s="219" t="s">
        <v>245</v>
      </c>
      <c r="L27" s="219"/>
      <c r="M27" s="225" t="s">
        <v>245</v>
      </c>
      <c r="N27" s="8"/>
    </row>
    <row r="28" spans="3:16" ht="15" customHeight="1" x14ac:dyDescent="0.45">
      <c r="C28" s="220"/>
      <c r="D28" s="221"/>
      <c r="E28" s="221"/>
      <c r="F28" s="221"/>
      <c r="G28" s="221"/>
      <c r="H28" s="226"/>
      <c r="I28" s="230"/>
      <c r="J28" s="230"/>
      <c r="K28" s="219"/>
      <c r="L28" s="219"/>
      <c r="M28" s="225"/>
      <c r="N28" s="8"/>
    </row>
    <row r="29" spans="3:16" ht="22.95" customHeight="1" x14ac:dyDescent="0.45">
      <c r="C29" s="220"/>
      <c r="D29" s="221"/>
      <c r="E29" s="475" t="s">
        <v>377</v>
      </c>
      <c r="F29" s="475"/>
      <c r="G29" s="475"/>
      <c r="H29" s="475"/>
      <c r="I29" s="230"/>
      <c r="J29" s="230"/>
      <c r="K29" s="299">
        <f>'[1]July-2024-Sched A'!I42</f>
        <v>0</v>
      </c>
      <c r="L29" s="219"/>
      <c r="M29" s="231">
        <f>K29+K23</f>
        <v>3530</v>
      </c>
      <c r="N29" s="8"/>
      <c r="O29" s="304" t="s">
        <v>245</v>
      </c>
      <c r="P29" s="135" t="s">
        <v>245</v>
      </c>
    </row>
    <row r="30" spans="3:16" ht="15" customHeight="1" x14ac:dyDescent="0.75">
      <c r="C30" s="242"/>
      <c r="D30" s="236"/>
      <c r="E30" s="243"/>
      <c r="F30" s="236"/>
      <c r="G30" s="226"/>
      <c r="H30" s="226"/>
      <c r="I30" s="226"/>
      <c r="J30" s="226"/>
      <c r="K30" s="222"/>
      <c r="L30" s="222"/>
      <c r="M30" s="244"/>
      <c r="N30" s="8"/>
    </row>
    <row r="31" spans="3:16" ht="15" customHeight="1" x14ac:dyDescent="0.45">
      <c r="C31" s="220" t="s">
        <v>442</v>
      </c>
      <c r="D31" s="220"/>
      <c r="E31" s="221"/>
      <c r="F31" s="221"/>
      <c r="G31" s="221"/>
      <c r="H31" s="221"/>
      <c r="I31" s="221"/>
      <c r="J31" s="221"/>
      <c r="K31" s="221"/>
      <c r="L31" s="221"/>
      <c r="M31" s="300">
        <v>0</v>
      </c>
      <c r="N31" s="8"/>
    </row>
    <row r="32" spans="3:16" ht="15" customHeight="1" x14ac:dyDescent="0.75">
      <c r="C32" s="242"/>
      <c r="D32" s="236"/>
      <c r="E32" s="243"/>
      <c r="F32" s="236"/>
      <c r="G32" s="226"/>
      <c r="H32" s="226"/>
      <c r="I32" s="226"/>
      <c r="J32" s="226"/>
      <c r="K32" s="222"/>
      <c r="L32" s="222"/>
      <c r="M32" s="244"/>
      <c r="N32" s="8"/>
    </row>
    <row r="33" spans="3:15" ht="20.149999999999999" customHeight="1" x14ac:dyDescent="0.45">
      <c r="C33" s="220" t="s">
        <v>313</v>
      </c>
      <c r="D33" s="220"/>
      <c r="E33" s="221"/>
      <c r="F33" s="221"/>
      <c r="G33" s="221"/>
      <c r="H33" s="221"/>
      <c r="I33" s="221"/>
      <c r="J33" s="221"/>
      <c r="K33" s="221"/>
      <c r="L33" s="247" t="s">
        <v>326</v>
      </c>
      <c r="M33" s="219">
        <f>M10+M29+M31</f>
        <v>8856.4699999999993</v>
      </c>
      <c r="N33" s="8"/>
      <c r="O33" t="s">
        <v>245</v>
      </c>
    </row>
    <row r="34" spans="3:15" ht="13.5" customHeight="1" x14ac:dyDescent="0.45">
      <c r="C34" s="220"/>
      <c r="D34" s="220"/>
      <c r="E34" s="221"/>
      <c r="F34" s="221"/>
      <c r="G34" s="221"/>
      <c r="H34" s="221"/>
      <c r="I34" s="221"/>
      <c r="J34" s="221"/>
      <c r="K34" s="221"/>
      <c r="L34" s="221"/>
      <c r="M34" s="221"/>
      <c r="N34" s="8"/>
    </row>
    <row r="35" spans="3:15" ht="13.5" customHeight="1" x14ac:dyDescent="0.45">
      <c r="C35" s="220"/>
      <c r="D35" s="220"/>
      <c r="E35" s="221"/>
      <c r="F35" s="221"/>
      <c r="G35" s="221"/>
      <c r="H35" s="221"/>
      <c r="I35" s="221"/>
      <c r="J35" s="221"/>
      <c r="K35" s="221"/>
      <c r="L35" s="221"/>
      <c r="M35" s="221"/>
      <c r="N35" s="8"/>
    </row>
    <row r="36" spans="3:15" ht="13.5" customHeight="1" x14ac:dyDescent="0.45">
      <c r="C36" s="220"/>
      <c r="D36" s="220"/>
      <c r="E36" s="221"/>
      <c r="F36" s="221"/>
      <c r="G36" s="221"/>
      <c r="H36" s="221"/>
      <c r="I36" s="221"/>
      <c r="J36" s="221"/>
      <c r="K36" s="221"/>
      <c r="L36" s="221"/>
      <c r="M36" s="221"/>
      <c r="N36" s="8"/>
    </row>
    <row r="37" spans="3:15" ht="13.5" customHeight="1" x14ac:dyDescent="0.45">
      <c r="C37" s="220"/>
      <c r="D37" s="220"/>
      <c r="E37" s="221"/>
      <c r="F37" s="221"/>
      <c r="G37" s="221"/>
      <c r="H37" s="221"/>
      <c r="I37" s="221"/>
      <c r="J37" s="221"/>
      <c r="K37" s="221"/>
      <c r="L37" s="221"/>
      <c r="M37" s="221"/>
      <c r="N37" s="8"/>
    </row>
    <row r="38" spans="3:15" ht="13.5" customHeight="1" x14ac:dyDescent="0.45">
      <c r="C38" s="220" t="s">
        <v>486</v>
      </c>
      <c r="D38" s="220"/>
      <c r="E38" s="221"/>
      <c r="F38" s="221"/>
      <c r="G38" s="221"/>
      <c r="H38" s="221"/>
      <c r="I38" s="221"/>
      <c r="J38" s="221"/>
      <c r="K38" s="221"/>
      <c r="L38" s="221"/>
      <c r="M38" s="221"/>
      <c r="N38" s="8"/>
    </row>
    <row r="39" spans="3:15" ht="15" customHeight="1" x14ac:dyDescent="0.45">
      <c r="C39" s="221" t="s">
        <v>245</v>
      </c>
      <c r="D39" s="221"/>
      <c r="E39" s="221" t="s">
        <v>245</v>
      </c>
      <c r="F39" s="221"/>
      <c r="G39" s="221"/>
      <c r="H39" s="221"/>
      <c r="I39" s="221"/>
      <c r="J39" s="221"/>
      <c r="K39" s="221"/>
      <c r="L39" s="221"/>
      <c r="M39" s="221"/>
      <c r="N39" s="8"/>
    </row>
    <row r="40" spans="3:15" ht="15" customHeight="1" x14ac:dyDescent="0.45">
      <c r="C40" s="239" t="s">
        <v>5</v>
      </c>
      <c r="D40" s="226"/>
      <c r="E40" s="226" t="s">
        <v>257</v>
      </c>
      <c r="F40" s="226"/>
      <c r="G40" s="487" t="s">
        <v>373</v>
      </c>
      <c r="H40" s="487"/>
      <c r="I40" s="487"/>
      <c r="J40" s="236"/>
      <c r="K40" s="236" t="s">
        <v>123</v>
      </c>
      <c r="L40" s="221"/>
      <c r="M40" s="226" t="s">
        <v>245</v>
      </c>
      <c r="N40" s="19"/>
    </row>
    <row r="41" spans="3:15" ht="15" customHeight="1" x14ac:dyDescent="0.45">
      <c r="C41" s="226"/>
      <c r="D41" s="226"/>
      <c r="E41" s="226"/>
      <c r="F41" s="226"/>
      <c r="G41" s="221"/>
      <c r="H41" s="221"/>
      <c r="I41" s="221"/>
      <c r="J41" s="221"/>
      <c r="K41" s="221"/>
      <c r="L41" s="221"/>
      <c r="M41" s="226"/>
      <c r="N41" s="19"/>
    </row>
    <row r="42" spans="3:15" ht="20.149999999999999" customHeight="1" x14ac:dyDescent="0.45">
      <c r="C42" s="292" t="s">
        <v>487</v>
      </c>
      <c r="D42" s="226"/>
      <c r="E42" s="226"/>
      <c r="F42" s="226"/>
      <c r="G42" s="228" t="s">
        <v>494</v>
      </c>
      <c r="H42" s="221"/>
      <c r="I42" s="221"/>
      <c r="J42" s="221"/>
      <c r="K42" s="222">
        <v>1000</v>
      </c>
      <c r="L42" s="222"/>
      <c r="M42" s="222"/>
      <c r="N42" s="19"/>
    </row>
    <row r="43" spans="3:15" ht="20.149999999999999" customHeight="1" x14ac:dyDescent="0.45">
      <c r="C43" s="292" t="s">
        <v>488</v>
      </c>
      <c r="D43" s="226"/>
      <c r="E43" s="226"/>
      <c r="F43" s="226"/>
      <c r="G43" s="228" t="s">
        <v>542</v>
      </c>
      <c r="H43" s="221"/>
      <c r="I43" s="221"/>
      <c r="J43" s="221"/>
      <c r="K43" s="222">
        <v>800</v>
      </c>
      <c r="L43" s="222"/>
      <c r="M43" s="222"/>
      <c r="N43" s="19"/>
    </row>
    <row r="44" spans="3:15" ht="20.149999999999999" customHeight="1" x14ac:dyDescent="0.45">
      <c r="C44" s="292" t="s">
        <v>489</v>
      </c>
      <c r="D44" s="226"/>
      <c r="E44" s="226"/>
      <c r="F44" s="226"/>
      <c r="G44" s="228" t="s">
        <v>543</v>
      </c>
      <c r="H44" s="221"/>
      <c r="I44" s="221"/>
      <c r="J44" s="221"/>
      <c r="K44" s="222">
        <v>200</v>
      </c>
      <c r="L44" s="222"/>
      <c r="M44" s="222"/>
      <c r="N44" s="19"/>
    </row>
    <row r="45" spans="3:15" ht="20.149999999999999" customHeight="1" x14ac:dyDescent="0.45">
      <c r="C45" s="292" t="s">
        <v>490</v>
      </c>
      <c r="D45" s="226"/>
      <c r="E45" s="226"/>
      <c r="F45" s="226"/>
      <c r="G45" s="228" t="s">
        <v>495</v>
      </c>
      <c r="H45" s="221"/>
      <c r="I45" s="221"/>
      <c r="J45" s="221"/>
      <c r="K45" s="222">
        <v>500</v>
      </c>
      <c r="L45" s="222"/>
      <c r="M45" s="222"/>
      <c r="N45" s="19"/>
    </row>
    <row r="46" spans="3:15" ht="20.149999999999999" customHeight="1" x14ac:dyDescent="0.45">
      <c r="C46" s="292" t="s">
        <v>491</v>
      </c>
      <c r="D46" s="226"/>
      <c r="E46" s="226"/>
      <c r="F46" s="226"/>
      <c r="G46" s="228" t="s">
        <v>496</v>
      </c>
      <c r="H46" s="221"/>
      <c r="I46" s="221"/>
      <c r="J46" s="221"/>
      <c r="K46" s="222">
        <v>500</v>
      </c>
      <c r="L46" s="222"/>
      <c r="M46" s="222"/>
      <c r="N46" s="19"/>
    </row>
    <row r="47" spans="3:15" ht="20.149999999999999" customHeight="1" x14ac:dyDescent="0.45">
      <c r="C47" s="292" t="s">
        <v>492</v>
      </c>
      <c r="D47" s="226"/>
      <c r="E47" s="226"/>
      <c r="F47" s="226"/>
      <c r="G47" s="228" t="s">
        <v>497</v>
      </c>
      <c r="H47" s="221"/>
      <c r="I47" s="221"/>
      <c r="J47" s="221"/>
      <c r="K47" s="222">
        <v>1250</v>
      </c>
      <c r="L47" s="222"/>
      <c r="M47" s="222"/>
      <c r="N47" s="19"/>
    </row>
    <row r="48" spans="3:15" ht="20.149999999999999" customHeight="1" x14ac:dyDescent="0.85">
      <c r="C48" s="323" t="s">
        <v>493</v>
      </c>
      <c r="D48" s="226"/>
      <c r="E48" s="226"/>
      <c r="F48" s="226"/>
      <c r="G48" s="286" t="s">
        <v>498</v>
      </c>
      <c r="H48" s="287"/>
      <c r="I48" s="287"/>
      <c r="J48" s="287"/>
      <c r="K48" s="266">
        <v>1500</v>
      </c>
      <c r="L48" s="222"/>
      <c r="M48" s="301">
        <f>SUM(K42:K48)</f>
        <v>5750</v>
      </c>
      <c r="N48" s="19"/>
    </row>
    <row r="49" spans="2:19" ht="20.149999999999999" hidden="1" customHeight="1" x14ac:dyDescent="0.75">
      <c r="C49" s="292" t="s">
        <v>447</v>
      </c>
      <c r="D49" s="226"/>
      <c r="E49" s="226"/>
      <c r="F49" s="226"/>
      <c r="G49" s="228" t="s">
        <v>449</v>
      </c>
      <c r="H49" s="221"/>
      <c r="I49" s="221"/>
      <c r="J49" s="221"/>
      <c r="K49" s="222">
        <v>0</v>
      </c>
      <c r="L49" s="222"/>
      <c r="M49" s="266"/>
      <c r="N49" s="19"/>
    </row>
    <row r="50" spans="2:19" ht="20.149999999999999" hidden="1" customHeight="1" x14ac:dyDescent="0.75">
      <c r="C50" s="292" t="s">
        <v>450</v>
      </c>
      <c r="D50" s="226"/>
      <c r="E50" s="226"/>
      <c r="F50" s="226"/>
      <c r="G50" s="228" t="s">
        <v>451</v>
      </c>
      <c r="H50" s="221"/>
      <c r="I50" s="221"/>
      <c r="J50" s="221"/>
      <c r="K50" s="222">
        <v>0</v>
      </c>
      <c r="L50" s="222"/>
      <c r="M50" s="266"/>
      <c r="N50" s="19"/>
    </row>
    <row r="51" spans="2:19" ht="20.149999999999999" hidden="1" customHeight="1" x14ac:dyDescent="0.75">
      <c r="C51" s="292" t="s">
        <v>452</v>
      </c>
      <c r="D51" s="226"/>
      <c r="E51" s="226"/>
      <c r="F51" s="226"/>
      <c r="G51" s="228" t="s">
        <v>432</v>
      </c>
      <c r="H51" s="221"/>
      <c r="I51" s="221"/>
      <c r="J51" s="221"/>
      <c r="K51" s="222">
        <v>0</v>
      </c>
      <c r="L51" s="222"/>
      <c r="M51" s="266"/>
      <c r="N51" s="19"/>
    </row>
    <row r="52" spans="2:19" ht="20.149999999999999" hidden="1" customHeight="1" thickBot="1" x14ac:dyDescent="0.9">
      <c r="C52" s="292" t="s">
        <v>453</v>
      </c>
      <c r="D52" s="226"/>
      <c r="E52" s="226"/>
      <c r="F52" s="226"/>
      <c r="G52" s="228" t="s">
        <v>454</v>
      </c>
      <c r="H52" s="221"/>
      <c r="I52" s="221"/>
      <c r="J52" s="221"/>
      <c r="K52" s="266">
        <v>0</v>
      </c>
      <c r="L52" s="222"/>
      <c r="M52" s="301">
        <f>SUM(K42:K52)</f>
        <v>5750</v>
      </c>
      <c r="N52" s="19"/>
    </row>
    <row r="53" spans="2:19" ht="15" customHeight="1" x14ac:dyDescent="0.45">
      <c r="C53" s="227"/>
      <c r="D53" s="227"/>
      <c r="E53" s="229"/>
      <c r="F53" s="229"/>
      <c r="G53" s="228"/>
      <c r="H53" s="221"/>
      <c r="I53" s="221"/>
      <c r="J53" s="221"/>
      <c r="K53" s="230"/>
      <c r="L53" s="230"/>
      <c r="M53" s="230"/>
      <c r="N53" s="201"/>
    </row>
    <row r="54" spans="2:19" ht="20.149999999999999" customHeight="1" x14ac:dyDescent="0.45">
      <c r="C54" s="220" t="s">
        <v>327</v>
      </c>
      <c r="D54" s="220"/>
      <c r="E54" s="221"/>
      <c r="F54" s="221"/>
      <c r="G54" s="221"/>
      <c r="H54" s="221"/>
      <c r="I54" s="221"/>
      <c r="J54" s="221"/>
      <c r="K54" s="221"/>
      <c r="L54" s="221"/>
      <c r="M54" s="231">
        <f>M33-M48</f>
        <v>3106.4699999999993</v>
      </c>
      <c r="N54" s="44"/>
    </row>
    <row r="55" spans="2:19" ht="13.5" customHeight="1" x14ac:dyDescent="0.45">
      <c r="C55" s="221"/>
      <c r="D55" s="221"/>
      <c r="E55" s="221"/>
      <c r="F55" s="221"/>
      <c r="G55" s="221"/>
      <c r="H55" s="221"/>
      <c r="I55" s="221"/>
      <c r="J55" s="221"/>
      <c r="K55" s="221"/>
      <c r="L55" s="221"/>
      <c r="M55" s="225"/>
      <c r="N55" s="44"/>
    </row>
    <row r="56" spans="2:19" ht="20.149999999999999" customHeight="1" x14ac:dyDescent="0.85">
      <c r="C56" s="220" t="s">
        <v>544</v>
      </c>
      <c r="D56" s="221"/>
      <c r="E56" s="221"/>
      <c r="F56" s="221"/>
      <c r="G56" s="221"/>
      <c r="H56" s="221"/>
      <c r="I56" s="221"/>
      <c r="J56" s="221"/>
      <c r="K56" s="221"/>
      <c r="L56" s="221"/>
      <c r="M56" s="264">
        <v>3080.85</v>
      </c>
      <c r="N56" s="44"/>
    </row>
    <row r="57" spans="2:19" ht="13.5" customHeight="1" x14ac:dyDescent="0.45">
      <c r="C57" s="221"/>
      <c r="D57" s="221"/>
      <c r="E57" s="221"/>
      <c r="F57" s="221"/>
      <c r="G57" s="221"/>
      <c r="H57" s="221"/>
      <c r="I57" s="221"/>
      <c r="J57" s="221"/>
      <c r="K57" s="221"/>
      <c r="L57" s="221"/>
      <c r="M57" s="225"/>
      <c r="N57" s="44"/>
    </row>
    <row r="58" spans="2:19" ht="24.45" customHeight="1" thickBot="1" x14ac:dyDescent="0.5">
      <c r="C58" s="220" t="s">
        <v>500</v>
      </c>
      <c r="D58" s="221"/>
      <c r="E58" s="221"/>
      <c r="F58" s="221"/>
      <c r="G58" s="221"/>
      <c r="H58" s="221"/>
      <c r="I58" s="221"/>
      <c r="J58" s="221"/>
      <c r="K58" s="221"/>
      <c r="L58" s="245" t="s">
        <v>326</v>
      </c>
      <c r="M58" s="232">
        <f>M54-M56</f>
        <v>25.619999999999436</v>
      </c>
      <c r="N58" s="8"/>
      <c r="O58" s="2" t="s">
        <v>245</v>
      </c>
      <c r="P58" s="135"/>
      <c r="Q58" s="135"/>
      <c r="R58" s="135"/>
      <c r="S58" s="135"/>
    </row>
    <row r="59" spans="2:19" ht="13.5" customHeight="1" thickTop="1" x14ac:dyDescent="0.45">
      <c r="C59" s="221"/>
      <c r="D59" s="221"/>
      <c r="E59" s="220"/>
      <c r="F59" s="220"/>
      <c r="G59" s="221"/>
      <c r="H59" s="221"/>
      <c r="I59" s="221"/>
      <c r="J59" s="221"/>
      <c r="K59" s="221"/>
      <c r="L59" s="221"/>
      <c r="M59" s="221"/>
      <c r="N59" s="8"/>
      <c r="O59" s="135"/>
      <c r="P59" s="474"/>
      <c r="Q59" s="474"/>
    </row>
    <row r="60" spans="2:19" ht="13.5" customHeight="1" x14ac:dyDescent="0.45">
      <c r="C60" s="221"/>
      <c r="D60" s="221"/>
      <c r="E60" s="220"/>
      <c r="F60" s="220"/>
      <c r="G60" s="221"/>
      <c r="H60" s="221"/>
      <c r="I60" s="221"/>
      <c r="J60" s="221"/>
      <c r="K60" s="221"/>
      <c r="L60" s="221"/>
      <c r="M60" s="221"/>
      <c r="N60" s="8"/>
      <c r="O60" s="270"/>
    </row>
    <row r="61" spans="2:19" ht="13.5" customHeight="1" thickBot="1" x14ac:dyDescent="0.45">
      <c r="C61" s="8"/>
      <c r="D61" s="8"/>
      <c r="E61" s="13"/>
      <c r="F61" s="13"/>
      <c r="G61" s="8"/>
      <c r="H61" s="8"/>
      <c r="I61" s="8"/>
      <c r="J61" s="8"/>
      <c r="K61" s="8"/>
      <c r="L61" s="8"/>
      <c r="M61" s="8"/>
      <c r="N61" s="8"/>
    </row>
    <row r="62" spans="2:19" ht="13.5" customHeight="1" x14ac:dyDescent="0.45">
      <c r="B62" s="251"/>
      <c r="C62" s="493" t="s">
        <v>468</v>
      </c>
      <c r="D62" s="493"/>
      <c r="E62" s="493"/>
      <c r="F62" s="493"/>
      <c r="G62" s="493"/>
      <c r="H62" s="493"/>
      <c r="I62" s="252"/>
      <c r="J62" s="252"/>
      <c r="K62" s="252"/>
      <c r="L62" s="483" t="s">
        <v>326</v>
      </c>
      <c r="M62" s="479">
        <v>68328.91</v>
      </c>
      <c r="N62" s="253"/>
    </row>
    <row r="63" spans="2:19" ht="11.15" customHeight="1" x14ac:dyDescent="0.4">
      <c r="B63" s="254"/>
      <c r="C63" s="494"/>
      <c r="D63" s="494"/>
      <c r="E63" s="494"/>
      <c r="F63" s="494"/>
      <c r="G63" s="494"/>
      <c r="H63" s="494"/>
      <c r="I63" s="220"/>
      <c r="J63" s="220"/>
      <c r="K63" s="220"/>
      <c r="L63" s="484"/>
      <c r="M63" s="503"/>
      <c r="N63" s="255"/>
    </row>
    <row r="64" spans="2:19" ht="16.2" customHeight="1" x14ac:dyDescent="0.4">
      <c r="B64" s="256"/>
      <c r="C64" s="496" t="s">
        <v>501</v>
      </c>
      <c r="D64" s="496"/>
      <c r="E64" s="496"/>
      <c r="F64" s="496"/>
      <c r="G64" s="496"/>
      <c r="H64" s="496"/>
      <c r="I64" s="233"/>
      <c r="J64" s="233"/>
      <c r="K64" s="307" t="s">
        <v>245</v>
      </c>
      <c r="L64" s="233"/>
      <c r="M64" s="261">
        <v>3080.85</v>
      </c>
      <c r="N64" s="174"/>
    </row>
    <row r="65" spans="2:15" ht="16.2" customHeight="1" thickBot="1" x14ac:dyDescent="0.5">
      <c r="B65" s="254"/>
      <c r="C65" s="497" t="s">
        <v>322</v>
      </c>
      <c r="D65" s="497"/>
      <c r="E65" s="497"/>
      <c r="F65" s="497"/>
      <c r="G65" s="497"/>
      <c r="H65" s="497"/>
      <c r="I65" s="302"/>
      <c r="J65" s="302"/>
      <c r="K65" s="303"/>
      <c r="L65" s="303"/>
      <c r="M65" s="261">
        <f>7.39-1.48</f>
        <v>5.91</v>
      </c>
      <c r="N65" s="255"/>
    </row>
    <row r="66" spans="2:15" ht="16.2" hidden="1" customHeight="1" x14ac:dyDescent="0.45">
      <c r="B66" s="254"/>
      <c r="C66" s="496" t="s">
        <v>460</v>
      </c>
      <c r="D66" s="496"/>
      <c r="E66" s="496"/>
      <c r="F66" s="496"/>
      <c r="G66" s="496"/>
      <c r="H66" s="496"/>
      <c r="I66" s="221"/>
      <c r="J66" s="221"/>
      <c r="K66" s="230"/>
      <c r="L66" s="230"/>
      <c r="M66" s="262">
        <v>0</v>
      </c>
      <c r="N66" s="255"/>
    </row>
    <row r="67" spans="2:15" ht="13.5" customHeight="1" x14ac:dyDescent="0.4">
      <c r="B67" s="251"/>
      <c r="C67" s="498" t="s">
        <v>499</v>
      </c>
      <c r="D67" s="498"/>
      <c r="E67" s="498"/>
      <c r="F67" s="498"/>
      <c r="G67" s="498"/>
      <c r="H67" s="498"/>
      <c r="I67" s="260"/>
      <c r="J67" s="260"/>
      <c r="K67" s="260"/>
      <c r="L67" s="485" t="s">
        <v>326</v>
      </c>
      <c r="M67" s="477">
        <f>SUM(M62:M66)</f>
        <v>71415.670000000013</v>
      </c>
      <c r="N67" s="253"/>
    </row>
    <row r="68" spans="2:15" ht="13.5" customHeight="1" thickBot="1" x14ac:dyDescent="0.45">
      <c r="B68" s="257"/>
      <c r="C68" s="499"/>
      <c r="D68" s="499"/>
      <c r="E68" s="499"/>
      <c r="F68" s="499"/>
      <c r="G68" s="499"/>
      <c r="H68" s="499"/>
      <c r="I68" s="258"/>
      <c r="J68" s="258"/>
      <c r="K68" s="258"/>
      <c r="L68" s="486"/>
      <c r="M68" s="478"/>
      <c r="N68" s="259"/>
      <c r="O68" s="135" t="s">
        <v>245</v>
      </c>
    </row>
    <row r="69" spans="2:15" ht="13.5" customHeight="1" x14ac:dyDescent="0.4">
      <c r="C69" s="8"/>
      <c r="D69" s="8"/>
      <c r="E69" s="13"/>
      <c r="F69" s="13"/>
      <c r="G69" s="13"/>
      <c r="H69" s="13"/>
      <c r="I69" s="13"/>
      <c r="J69" s="13"/>
      <c r="K69" s="13"/>
      <c r="L69" s="13"/>
      <c r="M69" s="15" t="s">
        <v>245</v>
      </c>
      <c r="N69" s="8"/>
    </row>
    <row r="70" spans="2:15" ht="13.5" customHeight="1" x14ac:dyDescent="0.4">
      <c r="C70" s="8"/>
      <c r="D70" s="8"/>
      <c r="E70" s="13"/>
      <c r="F70" s="13"/>
      <c r="G70" s="13"/>
      <c r="H70" s="13"/>
      <c r="I70" s="13"/>
      <c r="J70" s="13"/>
      <c r="K70" s="13"/>
      <c r="L70" s="13"/>
      <c r="M70" s="15"/>
      <c r="N70" s="8"/>
    </row>
    <row r="71" spans="2:15" ht="13.5" customHeight="1" x14ac:dyDescent="0.4">
      <c r="C71" s="8"/>
      <c r="D71" s="8"/>
      <c r="E71" s="13"/>
      <c r="F71" s="13"/>
      <c r="G71" s="13"/>
      <c r="H71" s="13"/>
      <c r="I71" s="13"/>
      <c r="J71" s="13"/>
      <c r="K71" s="13"/>
      <c r="L71" s="13"/>
      <c r="M71" s="15"/>
      <c r="N71" s="8"/>
    </row>
    <row r="72" spans="2:15" ht="13.5" customHeight="1" x14ac:dyDescent="0.4">
      <c r="C72" s="237" t="s">
        <v>13</v>
      </c>
      <c r="D72" s="235"/>
      <c r="E72" s="235"/>
      <c r="F72" s="235"/>
      <c r="G72" s="237" t="s">
        <v>82</v>
      </c>
      <c r="H72" s="235"/>
      <c r="I72" s="237" t="s">
        <v>289</v>
      </c>
      <c r="J72" s="237"/>
      <c r="K72" s="235"/>
      <c r="L72" s="235"/>
      <c r="M72" s="235" t="s">
        <v>261</v>
      </c>
      <c r="N72" s="8"/>
    </row>
    <row r="73" spans="2:15" ht="13.5" customHeight="1" x14ac:dyDescent="0.4"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</row>
    <row r="74" spans="2:15" ht="20.149999999999999" customHeight="1" x14ac:dyDescent="0.4">
      <c r="C74" s="234" t="s">
        <v>290</v>
      </c>
      <c r="D74" s="235"/>
      <c r="E74" s="235"/>
      <c r="F74" s="235"/>
      <c r="G74" s="234" t="s">
        <v>14</v>
      </c>
      <c r="H74" s="235"/>
      <c r="I74" s="234" t="s">
        <v>17</v>
      </c>
      <c r="J74" s="234"/>
      <c r="K74" s="235"/>
      <c r="L74" s="235"/>
      <c r="M74" s="234" t="s">
        <v>8</v>
      </c>
      <c r="N74" s="8"/>
    </row>
    <row r="75" spans="2:15" ht="13.5" customHeight="1" x14ac:dyDescent="0.4">
      <c r="C75" s="19" t="s">
        <v>317</v>
      </c>
      <c r="D75" s="8"/>
      <c r="E75" s="8"/>
      <c r="F75" s="8"/>
      <c r="G75" s="19" t="s">
        <v>15</v>
      </c>
      <c r="H75" s="8"/>
      <c r="I75" s="19" t="s">
        <v>292</v>
      </c>
      <c r="J75" s="19"/>
      <c r="K75" s="8"/>
      <c r="L75" s="8"/>
      <c r="M75" s="19" t="s">
        <v>262</v>
      </c>
      <c r="N75" s="8"/>
    </row>
    <row r="76" spans="2:15" ht="13.5" customHeight="1" x14ac:dyDescent="0.4"/>
    <row r="77" spans="2:15" ht="13.5" customHeight="1" x14ac:dyDescent="0.4"/>
    <row r="78" spans="2:15" ht="13.5" customHeight="1" x14ac:dyDescent="0.4"/>
    <row r="79" spans="2:15" ht="13.5" customHeight="1" x14ac:dyDescent="0.4"/>
    <row r="80" spans="2:15" ht="13.5" customHeight="1" x14ac:dyDescent="0.4"/>
  </sheetData>
  <mergeCells count="20">
    <mergeCell ref="C65:H65"/>
    <mergeCell ref="C66:H66"/>
    <mergeCell ref="C67:H68"/>
    <mergeCell ref="L67:L68"/>
    <mergeCell ref="M67:M68"/>
    <mergeCell ref="C27:I27"/>
    <mergeCell ref="E29:H29"/>
    <mergeCell ref="G40:I40"/>
    <mergeCell ref="P59:Q59"/>
    <mergeCell ref="C64:H64"/>
    <mergeCell ref="M62:M63"/>
    <mergeCell ref="C62:H63"/>
    <mergeCell ref="L62:L63"/>
    <mergeCell ref="C14:E14"/>
    <mergeCell ref="C16:E16"/>
    <mergeCell ref="C4:N4"/>
    <mergeCell ref="C5:M5"/>
    <mergeCell ref="C6:M6"/>
    <mergeCell ref="C7:M7"/>
    <mergeCell ref="C8:M8"/>
  </mergeCells>
  <pageMargins left="0.19685039370078741" right="0.11811023622047245" top="0" bottom="0" header="0.31496062992125984" footer="0.31496062992125984"/>
  <pageSetup paperSize="9" scale="73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A9D8E1-3F1E-4EE2-A0E9-BBAB14B8A220}">
  <dimension ref="B2:M58"/>
  <sheetViews>
    <sheetView workbookViewId="0">
      <selection activeCell="D14" sqref="D14"/>
    </sheetView>
  </sheetViews>
  <sheetFormatPr defaultRowHeight="14.6" x14ac:dyDescent="0.4"/>
  <cols>
    <col min="1" max="1" width="2.3046875" customWidth="1"/>
    <col min="2" max="2" width="13.3046875" customWidth="1"/>
    <col min="3" max="3" width="4.84375" customWidth="1"/>
    <col min="4" max="4" width="12.3046875" customWidth="1"/>
    <col min="5" max="5" width="1.53515625" customWidth="1"/>
    <col min="6" max="6" width="19.84375" customWidth="1"/>
    <col min="7" max="7" width="22.3046875" customWidth="1"/>
    <col min="8" max="8" width="23.3046875" hidden="1" customWidth="1"/>
    <col min="9" max="9" width="13.69140625" customWidth="1"/>
    <col min="10" max="10" width="12.07421875" customWidth="1"/>
    <col min="11" max="12" width="12.3046875" customWidth="1"/>
    <col min="13" max="13" width="11.53515625" customWidth="1"/>
  </cols>
  <sheetData>
    <row r="2" spans="2:12" x14ac:dyDescent="0.4">
      <c r="B2" s="246" t="s">
        <v>329</v>
      </c>
    </row>
    <row r="3" spans="2:12" x14ac:dyDescent="0.4">
      <c r="B3" s="246"/>
    </row>
    <row r="4" spans="2:12" x14ac:dyDescent="0.4">
      <c r="B4" s="246"/>
    </row>
    <row r="5" spans="2:12" x14ac:dyDescent="0.4">
      <c r="B5" s="246"/>
    </row>
    <row r="6" spans="2:12" x14ac:dyDescent="0.4">
      <c r="B6" s="246"/>
    </row>
    <row r="7" spans="2:12" ht="14.15" customHeight="1" x14ac:dyDescent="0.4">
      <c r="B7" s="468" t="s">
        <v>0</v>
      </c>
      <c r="C7" s="468"/>
      <c r="D7" s="468"/>
      <c r="E7" s="468"/>
      <c r="F7" s="468"/>
      <c r="G7" s="468"/>
      <c r="H7" s="468"/>
      <c r="I7" s="468"/>
      <c r="J7" s="468"/>
      <c r="K7" s="468"/>
      <c r="L7" s="468"/>
    </row>
    <row r="8" spans="2:12" ht="14.15" customHeight="1" x14ac:dyDescent="0.4">
      <c r="B8" s="19"/>
      <c r="C8" s="19"/>
      <c r="D8" s="19"/>
      <c r="E8" s="19"/>
      <c r="F8" s="19"/>
      <c r="G8" s="19" t="s">
        <v>18</v>
      </c>
      <c r="H8" s="19"/>
      <c r="I8" s="19"/>
      <c r="J8" s="19"/>
      <c r="K8" s="19"/>
      <c r="L8" s="1"/>
    </row>
    <row r="9" spans="2:12" ht="14.15" customHeight="1" x14ac:dyDescent="0.4">
      <c r="B9" s="8"/>
      <c r="C9" s="8"/>
      <c r="D9" s="8"/>
      <c r="E9" s="8"/>
      <c r="F9" s="473" t="s">
        <v>504</v>
      </c>
      <c r="G9" s="473"/>
      <c r="H9" s="473"/>
      <c r="I9" s="473"/>
      <c r="J9" s="473"/>
      <c r="K9" s="8"/>
    </row>
    <row r="10" spans="2:12" ht="14.15" customHeight="1" thickBot="1" x14ac:dyDescent="0.45">
      <c r="B10" s="8"/>
      <c r="C10" s="8"/>
      <c r="D10" s="8"/>
      <c r="E10" s="8"/>
      <c r="F10" s="8"/>
      <c r="G10" s="8"/>
      <c r="H10" s="8"/>
      <c r="I10" s="8"/>
      <c r="J10" s="8"/>
      <c r="K10" s="8"/>
    </row>
    <row r="11" spans="2:12" ht="21.75" customHeight="1" x14ac:dyDescent="0.4">
      <c r="B11" s="308"/>
      <c r="C11" s="309"/>
      <c r="D11" s="310"/>
      <c r="E11" s="309"/>
      <c r="F11" s="311"/>
      <c r="G11" s="500" t="s">
        <v>304</v>
      </c>
      <c r="H11" s="500" t="s">
        <v>299</v>
      </c>
      <c r="I11" s="500" t="s">
        <v>293</v>
      </c>
      <c r="J11" s="502" t="s">
        <v>301</v>
      </c>
      <c r="K11" s="502"/>
      <c r="L11" s="500" t="s">
        <v>296</v>
      </c>
    </row>
    <row r="12" spans="2:12" ht="30" customHeight="1" thickBot="1" x14ac:dyDescent="0.45">
      <c r="B12" s="312" t="s">
        <v>5</v>
      </c>
      <c r="C12" s="313"/>
      <c r="D12" s="314" t="s">
        <v>309</v>
      </c>
      <c r="E12" s="313"/>
      <c r="F12" s="315" t="s">
        <v>1</v>
      </c>
      <c r="G12" s="501"/>
      <c r="H12" s="501"/>
      <c r="I12" s="501"/>
      <c r="J12" s="316" t="s">
        <v>302</v>
      </c>
      <c r="K12" s="317" t="s">
        <v>303</v>
      </c>
      <c r="L12" s="501"/>
    </row>
    <row r="13" spans="2:12" ht="16.2" customHeight="1" x14ac:dyDescent="0.4">
      <c r="B13" s="137" t="s">
        <v>62</v>
      </c>
      <c r="C13" s="19"/>
      <c r="D13" s="155"/>
      <c r="E13" s="19"/>
      <c r="F13" s="170"/>
      <c r="G13" s="110"/>
      <c r="H13" s="110"/>
      <c r="I13" s="157"/>
      <c r="J13" s="178"/>
      <c r="K13" s="183"/>
      <c r="L13" s="186"/>
    </row>
    <row r="14" spans="2:12" ht="16.2" customHeight="1" x14ac:dyDescent="0.4">
      <c r="B14" s="138" t="s">
        <v>28</v>
      </c>
      <c r="C14" s="139" t="s">
        <v>245</v>
      </c>
      <c r="D14" s="140">
        <v>2734</v>
      </c>
      <c r="E14" s="141"/>
      <c r="F14" s="171" t="s">
        <v>33</v>
      </c>
      <c r="G14" s="158">
        <v>100</v>
      </c>
      <c r="H14" s="158"/>
      <c r="I14" s="140"/>
      <c r="J14" s="114"/>
      <c r="K14" s="184"/>
      <c r="L14" s="163"/>
    </row>
    <row r="15" spans="2:12" ht="16.2" customHeight="1" x14ac:dyDescent="0.4">
      <c r="B15" s="138" t="s">
        <v>28</v>
      </c>
      <c r="C15" s="139"/>
      <c r="D15" s="140">
        <v>2735</v>
      </c>
      <c r="E15" s="141"/>
      <c r="F15" s="171" t="s">
        <v>41</v>
      </c>
      <c r="G15" s="158">
        <v>100</v>
      </c>
      <c r="H15" s="158"/>
      <c r="I15" s="140"/>
      <c r="J15" s="114"/>
      <c r="K15" s="184"/>
      <c r="L15" s="163"/>
    </row>
    <row r="16" spans="2:12" ht="16.2" customHeight="1" x14ac:dyDescent="0.4">
      <c r="B16" s="138" t="s">
        <v>28</v>
      </c>
      <c r="C16" s="139"/>
      <c r="D16" s="140">
        <v>2736</v>
      </c>
      <c r="E16" s="141"/>
      <c r="F16" s="171" t="s">
        <v>232</v>
      </c>
      <c r="G16" s="158">
        <v>100</v>
      </c>
      <c r="H16" s="158"/>
      <c r="I16" s="140"/>
      <c r="J16" s="114"/>
      <c r="K16" s="184"/>
      <c r="L16" s="163"/>
    </row>
    <row r="17" spans="2:13" ht="16.2" customHeight="1" x14ac:dyDescent="0.4">
      <c r="B17" s="138" t="s">
        <v>28</v>
      </c>
      <c r="C17" s="139"/>
      <c r="D17" s="140">
        <v>2737</v>
      </c>
      <c r="E17" s="141"/>
      <c r="F17" s="171" t="s">
        <v>403</v>
      </c>
      <c r="G17" s="158">
        <v>100</v>
      </c>
      <c r="H17" s="158"/>
      <c r="I17" s="140"/>
      <c r="J17" s="114"/>
      <c r="K17" s="184"/>
      <c r="L17" s="163"/>
    </row>
    <row r="18" spans="2:13" ht="16.2" customHeight="1" x14ac:dyDescent="0.4">
      <c r="B18" s="138" t="s">
        <v>28</v>
      </c>
      <c r="C18" s="139"/>
      <c r="D18" s="140">
        <v>2738</v>
      </c>
      <c r="E18" s="141"/>
      <c r="F18" s="171" t="s">
        <v>505</v>
      </c>
      <c r="G18" s="158">
        <v>100</v>
      </c>
      <c r="H18" s="158"/>
      <c r="I18" s="140"/>
      <c r="J18" s="114"/>
      <c r="K18" s="184"/>
      <c r="L18" s="163"/>
    </row>
    <row r="19" spans="2:13" ht="18" customHeight="1" x14ac:dyDescent="0.4">
      <c r="B19" s="154" t="s">
        <v>307</v>
      </c>
      <c r="D19" s="111"/>
      <c r="F19" s="109"/>
      <c r="G19" s="161">
        <f>SUM(G14:G18)</f>
        <v>500</v>
      </c>
      <c r="H19" s="161"/>
      <c r="I19" s="162">
        <v>0</v>
      </c>
      <c r="J19" s="114">
        <v>500</v>
      </c>
      <c r="K19" s="185">
        <v>500</v>
      </c>
      <c r="L19" s="198">
        <f>J19+K19</f>
        <v>1000</v>
      </c>
    </row>
    <row r="20" spans="2:13" ht="16.2" customHeight="1" x14ac:dyDescent="0.4">
      <c r="B20" s="138">
        <v>11</v>
      </c>
      <c r="C20" s="141"/>
      <c r="D20" s="140">
        <v>2739</v>
      </c>
      <c r="E20" s="141"/>
      <c r="F20" s="172" t="s">
        <v>506</v>
      </c>
      <c r="G20" s="158">
        <v>100</v>
      </c>
      <c r="H20" s="159"/>
      <c r="I20" s="140"/>
      <c r="J20" s="114"/>
      <c r="K20" s="185"/>
      <c r="L20" s="166" t="s">
        <v>245</v>
      </c>
    </row>
    <row r="21" spans="2:13" ht="16.2" customHeight="1" x14ac:dyDescent="0.4">
      <c r="B21" s="138">
        <v>11</v>
      </c>
      <c r="C21" s="141"/>
      <c r="D21" s="140">
        <f>1+D20</f>
        <v>2740</v>
      </c>
      <c r="E21" s="141"/>
      <c r="F21" s="172" t="s">
        <v>403</v>
      </c>
      <c r="G21" s="158">
        <v>100</v>
      </c>
      <c r="H21" s="159"/>
      <c r="I21" s="140"/>
      <c r="J21" s="114"/>
      <c r="K21" s="185"/>
      <c r="L21" s="166"/>
    </row>
    <row r="22" spans="2:13" ht="16.2" customHeight="1" x14ac:dyDescent="0.4">
      <c r="B22" s="154" t="s">
        <v>307</v>
      </c>
      <c r="C22" s="141"/>
      <c r="D22" s="140"/>
      <c r="E22" s="141"/>
      <c r="F22" s="172"/>
      <c r="G22" s="289">
        <f>SUM(G20:G21)</f>
        <v>200</v>
      </c>
      <c r="H22" s="159"/>
      <c r="I22" s="162">
        <f>G22-J22</f>
        <v>0</v>
      </c>
      <c r="J22" s="114">
        <v>200</v>
      </c>
      <c r="K22" s="185">
        <v>800</v>
      </c>
      <c r="L22" s="198">
        <f>J22+K22</f>
        <v>1000</v>
      </c>
    </row>
    <row r="23" spans="2:13" ht="16.2" customHeight="1" x14ac:dyDescent="0.4">
      <c r="B23" s="138">
        <v>18</v>
      </c>
      <c r="C23" s="141"/>
      <c r="D23" s="140">
        <v>2741</v>
      </c>
      <c r="E23" s="141"/>
      <c r="F23" s="172" t="s">
        <v>345</v>
      </c>
      <c r="G23" s="158">
        <v>100</v>
      </c>
      <c r="H23" s="159"/>
      <c r="I23" s="140"/>
      <c r="J23" s="114"/>
      <c r="K23" s="185"/>
      <c r="L23" s="166"/>
    </row>
    <row r="24" spans="2:13" ht="16.2" customHeight="1" x14ac:dyDescent="0.4">
      <c r="B24" s="138">
        <v>18</v>
      </c>
      <c r="C24" s="141"/>
      <c r="D24" s="140">
        <f>1+D23</f>
        <v>2742</v>
      </c>
      <c r="E24" s="141"/>
      <c r="F24" s="172" t="s">
        <v>33</v>
      </c>
      <c r="G24" s="332">
        <v>200</v>
      </c>
      <c r="H24" s="159"/>
      <c r="I24" s="140"/>
      <c r="J24" s="114"/>
      <c r="K24" s="185"/>
      <c r="L24" s="166"/>
    </row>
    <row r="25" spans="2:13" ht="16.2" customHeight="1" x14ac:dyDescent="0.4">
      <c r="B25" s="138">
        <v>18</v>
      </c>
      <c r="C25" s="141"/>
      <c r="D25" s="140">
        <f>1+D24</f>
        <v>2743</v>
      </c>
      <c r="E25" s="141"/>
      <c r="F25" s="172" t="s">
        <v>238</v>
      </c>
      <c r="G25" s="158">
        <v>50</v>
      </c>
      <c r="H25" s="159"/>
      <c r="I25" s="140"/>
      <c r="J25" s="114"/>
      <c r="K25" s="185"/>
      <c r="L25" s="166"/>
    </row>
    <row r="26" spans="2:13" ht="16.2" customHeight="1" x14ac:dyDescent="0.4">
      <c r="B26" s="138">
        <v>18</v>
      </c>
      <c r="C26" s="141"/>
      <c r="D26" s="140">
        <f>1+D25</f>
        <v>2744</v>
      </c>
      <c r="E26" s="141"/>
      <c r="F26" s="172" t="s">
        <v>41</v>
      </c>
      <c r="G26" s="158">
        <v>100</v>
      </c>
      <c r="H26" s="159"/>
      <c r="I26" s="140"/>
      <c r="J26" s="114"/>
      <c r="K26" s="185"/>
      <c r="L26" s="166"/>
    </row>
    <row r="27" spans="2:13" ht="16.2" customHeight="1" x14ac:dyDescent="0.4">
      <c r="B27" s="138">
        <v>18</v>
      </c>
      <c r="C27" s="141"/>
      <c r="D27" s="140">
        <f>1+D26</f>
        <v>2745</v>
      </c>
      <c r="E27" s="141"/>
      <c r="F27" s="172" t="s">
        <v>507</v>
      </c>
      <c r="G27" s="158">
        <v>200</v>
      </c>
      <c r="H27" s="159"/>
      <c r="I27" s="140"/>
      <c r="J27" s="114"/>
      <c r="K27" s="185"/>
      <c r="L27" s="166"/>
    </row>
    <row r="28" spans="2:13" ht="16.2" customHeight="1" x14ac:dyDescent="0.4">
      <c r="B28" s="138">
        <v>18</v>
      </c>
      <c r="C28" s="141"/>
      <c r="D28" s="140">
        <f>1+D27</f>
        <v>2746</v>
      </c>
      <c r="E28" s="141"/>
      <c r="F28" s="172" t="s">
        <v>403</v>
      </c>
      <c r="G28" s="158">
        <v>100</v>
      </c>
      <c r="H28" s="159"/>
      <c r="I28" s="140"/>
      <c r="J28" s="114"/>
      <c r="K28" s="185"/>
      <c r="L28" s="166"/>
    </row>
    <row r="29" spans="2:13" ht="18" customHeight="1" x14ac:dyDescent="0.45">
      <c r="B29" s="154" t="s">
        <v>307</v>
      </c>
      <c r="D29" s="111"/>
      <c r="F29" s="298"/>
      <c r="G29" s="306">
        <f>SUM(G23:G28)</f>
        <v>750</v>
      </c>
      <c r="H29" s="306"/>
      <c r="I29" s="162">
        <f>G29-J29</f>
        <v>0</v>
      </c>
      <c r="J29" s="142">
        <v>750</v>
      </c>
      <c r="K29" s="185">
        <v>250</v>
      </c>
      <c r="L29" s="198">
        <f>J29+K29</f>
        <v>1000</v>
      </c>
      <c r="M29" s="135"/>
    </row>
    <row r="30" spans="2:13" ht="16.2" customHeight="1" x14ac:dyDescent="0.4">
      <c r="B30" s="138">
        <v>25</v>
      </c>
      <c r="C30" s="141"/>
      <c r="D30" s="140">
        <v>2747</v>
      </c>
      <c r="E30" s="141"/>
      <c r="F30" s="172" t="s">
        <v>508</v>
      </c>
      <c r="G30" s="275">
        <v>100</v>
      </c>
      <c r="H30" s="159"/>
      <c r="I30" s="140"/>
      <c r="J30" s="179"/>
      <c r="K30" s="185"/>
      <c r="L30" s="199"/>
    </row>
    <row r="31" spans="2:13" ht="16.2" customHeight="1" x14ac:dyDescent="0.4">
      <c r="B31" s="138">
        <v>25</v>
      </c>
      <c r="C31" s="141"/>
      <c r="D31" s="140">
        <f>1+D30</f>
        <v>2748</v>
      </c>
      <c r="E31" s="141"/>
      <c r="F31" s="172" t="s">
        <v>41</v>
      </c>
      <c r="G31" s="275">
        <v>100</v>
      </c>
      <c r="H31" s="159"/>
      <c r="I31" s="140"/>
      <c r="J31" s="179"/>
      <c r="K31" s="185"/>
      <c r="L31" s="199"/>
    </row>
    <row r="32" spans="2:13" ht="16.2" customHeight="1" x14ac:dyDescent="0.4">
      <c r="B32" s="138">
        <v>25</v>
      </c>
      <c r="C32" s="141"/>
      <c r="D32" s="140">
        <f>1+D31</f>
        <v>2749</v>
      </c>
      <c r="E32" s="141"/>
      <c r="F32" s="172" t="s">
        <v>238</v>
      </c>
      <c r="G32" s="275">
        <v>50</v>
      </c>
      <c r="H32" s="159"/>
      <c r="I32" s="140"/>
      <c r="J32" s="179"/>
      <c r="K32" s="185"/>
      <c r="L32" s="199"/>
    </row>
    <row r="33" spans="2:12" ht="16.2" customHeight="1" x14ac:dyDescent="0.4">
      <c r="B33" s="138">
        <v>25</v>
      </c>
      <c r="C33" s="141"/>
      <c r="D33" s="140">
        <f>1+D32</f>
        <v>2750</v>
      </c>
      <c r="E33" s="141"/>
      <c r="F33" s="172" t="s">
        <v>232</v>
      </c>
      <c r="G33" s="275">
        <v>100</v>
      </c>
      <c r="H33" s="159"/>
      <c r="I33" s="140"/>
      <c r="J33" s="142"/>
      <c r="K33" s="185"/>
      <c r="L33" s="199"/>
    </row>
    <row r="34" spans="2:12" ht="16.2" customHeight="1" x14ac:dyDescent="0.4">
      <c r="B34" s="138">
        <v>25</v>
      </c>
      <c r="C34" s="141"/>
      <c r="D34" s="140">
        <f>1+D33</f>
        <v>2751</v>
      </c>
      <c r="E34" s="141"/>
      <c r="F34" s="172" t="s">
        <v>403</v>
      </c>
      <c r="G34" s="275">
        <v>100</v>
      </c>
      <c r="H34" s="159"/>
      <c r="I34" s="140"/>
      <c r="J34" s="142"/>
      <c r="K34" s="185"/>
      <c r="L34" s="199"/>
    </row>
    <row r="35" spans="2:12" ht="16.2" customHeight="1" x14ac:dyDescent="0.4">
      <c r="B35" s="138">
        <v>28</v>
      </c>
      <c r="C35" s="141"/>
      <c r="D35" s="140">
        <f>1+D34</f>
        <v>2752</v>
      </c>
      <c r="E35" s="141"/>
      <c r="F35" s="172" t="s">
        <v>157</v>
      </c>
      <c r="G35" s="275">
        <v>100</v>
      </c>
      <c r="H35" s="159"/>
      <c r="I35" s="140"/>
      <c r="J35" s="142"/>
      <c r="K35" s="185"/>
      <c r="L35" s="199"/>
    </row>
    <row r="36" spans="2:12" ht="18" customHeight="1" thickBot="1" x14ac:dyDescent="0.45">
      <c r="B36" s="154" t="s">
        <v>307</v>
      </c>
      <c r="D36" s="111"/>
      <c r="F36" s="109"/>
      <c r="G36" s="167">
        <f>SUM(G30:G35)</f>
        <v>550</v>
      </c>
      <c r="H36" s="167"/>
      <c r="I36" s="162">
        <f>G36-J36</f>
        <v>0</v>
      </c>
      <c r="J36" s="180">
        <v>550</v>
      </c>
      <c r="K36" s="181">
        <v>450</v>
      </c>
      <c r="L36" s="198">
        <f>J36+K36</f>
        <v>1000</v>
      </c>
    </row>
    <row r="37" spans="2:12" ht="22.2" customHeight="1" thickBot="1" x14ac:dyDescent="0.45">
      <c r="B37" s="318" t="s">
        <v>297</v>
      </c>
      <c r="C37" s="319"/>
      <c r="D37" s="320"/>
      <c r="E37" s="321"/>
      <c r="F37" s="319"/>
      <c r="G37" s="322">
        <f>G19+G22+G29+G36</f>
        <v>2000</v>
      </c>
      <c r="H37" s="322"/>
      <c r="I37" s="322">
        <f>I19+I29+I22+I36</f>
        <v>0</v>
      </c>
      <c r="J37" s="322">
        <f>J19+J22+J29+J36</f>
        <v>2000</v>
      </c>
      <c r="K37" s="322">
        <f>K19+K22+K29+K36</f>
        <v>2000</v>
      </c>
      <c r="L37" s="322">
        <f>L19+L22+L29+L36</f>
        <v>4000</v>
      </c>
    </row>
    <row r="38" spans="2:12" ht="16.2" customHeight="1" x14ac:dyDescent="0.4">
      <c r="B38" s="9"/>
      <c r="C38" s="8"/>
      <c r="D38" s="19"/>
      <c r="E38" s="19"/>
      <c r="F38" s="8"/>
      <c r="G38" s="10"/>
      <c r="H38" s="10"/>
      <c r="I38" s="14" t="s">
        <v>245</v>
      </c>
      <c r="J38" s="14" t="s">
        <v>245</v>
      </c>
      <c r="K38" s="12"/>
      <c r="L38" s="15" t="s">
        <v>245</v>
      </c>
    </row>
    <row r="39" spans="2:12" ht="16.2" customHeight="1" x14ac:dyDescent="0.4">
      <c r="B39" s="9"/>
      <c r="C39" s="8"/>
      <c r="D39" s="19"/>
      <c r="E39" s="19"/>
      <c r="F39" s="8"/>
      <c r="G39" s="10"/>
      <c r="H39" s="10"/>
      <c r="I39" s="14" t="s">
        <v>245</v>
      </c>
      <c r="J39" s="14"/>
      <c r="K39" s="12"/>
      <c r="L39" s="15"/>
    </row>
    <row r="40" spans="2:12" ht="14.15" customHeight="1" x14ac:dyDescent="0.4">
      <c r="B40" s="9"/>
      <c r="C40" s="8"/>
      <c r="D40" s="19"/>
      <c r="E40" s="19"/>
      <c r="F40" s="8"/>
      <c r="G40" s="10"/>
      <c r="H40" s="10"/>
      <c r="I40" s="14"/>
      <c r="J40" s="14"/>
      <c r="K40" s="12"/>
      <c r="L40" s="15"/>
    </row>
    <row r="41" spans="2:12" ht="14.15" customHeight="1" x14ac:dyDescent="0.4">
      <c r="B41" s="8"/>
      <c r="C41" s="8"/>
      <c r="D41" s="8" t="s">
        <v>245</v>
      </c>
      <c r="E41" s="8"/>
      <c r="F41" s="8"/>
      <c r="G41" s="8"/>
      <c r="H41" s="8"/>
      <c r="I41" s="8"/>
      <c r="J41" s="8"/>
      <c r="K41" s="8"/>
    </row>
    <row r="42" spans="2:12" ht="14.15" customHeight="1" x14ac:dyDescent="0.4">
      <c r="B42" s="8"/>
      <c r="C42" s="8"/>
      <c r="D42" s="19" t="s">
        <v>245</v>
      </c>
      <c r="E42" s="8"/>
      <c r="F42" s="19" t="s">
        <v>245</v>
      </c>
      <c r="G42" s="8"/>
      <c r="H42" s="8"/>
      <c r="I42" s="8"/>
      <c r="J42" s="8"/>
      <c r="K42" s="8"/>
    </row>
    <row r="43" spans="2:12" ht="14.15" customHeight="1" x14ac:dyDescent="0.4">
      <c r="B43" s="8"/>
      <c r="C43" s="8"/>
      <c r="D43" s="8"/>
      <c r="E43" s="8"/>
      <c r="F43" s="19"/>
      <c r="G43" s="8"/>
      <c r="H43" s="8"/>
      <c r="I43" s="8"/>
      <c r="J43" s="8"/>
      <c r="K43" s="8"/>
    </row>
    <row r="44" spans="2:12" ht="14.15" customHeight="1" x14ac:dyDescent="0.4">
      <c r="B44" s="8"/>
      <c r="C44" s="8"/>
      <c r="D44" s="8"/>
      <c r="E44" s="8"/>
      <c r="F44" s="19"/>
      <c r="G44" s="8"/>
      <c r="H44" s="8"/>
      <c r="I44" s="8"/>
      <c r="J44" s="8"/>
      <c r="K44" s="8"/>
    </row>
    <row r="45" spans="2:12" ht="14.15" customHeight="1" x14ac:dyDescent="0.4">
      <c r="B45" s="8"/>
      <c r="C45" s="8"/>
      <c r="D45" s="8"/>
      <c r="E45" s="8"/>
      <c r="F45" s="19"/>
      <c r="G45" s="8"/>
      <c r="H45" s="8"/>
      <c r="I45" s="8"/>
      <c r="J45" s="8"/>
      <c r="K45" s="8"/>
    </row>
    <row r="46" spans="2:12" ht="14.15" customHeight="1" x14ac:dyDescent="0.4">
      <c r="B46" s="267" t="s">
        <v>503</v>
      </c>
      <c r="C46" s="267"/>
      <c r="D46" s="267"/>
      <c r="E46" s="267"/>
      <c r="F46" s="19"/>
      <c r="G46" s="8"/>
      <c r="H46" s="8"/>
      <c r="I46" s="8"/>
      <c r="J46" s="8"/>
      <c r="K46" s="8"/>
    </row>
    <row r="47" spans="2:12" ht="14.15" customHeight="1" thickBot="1" x14ac:dyDescent="0.45">
      <c r="B47" s="19" t="s">
        <v>245</v>
      </c>
      <c r="C47" s="8"/>
      <c r="D47" s="8"/>
      <c r="E47" s="8"/>
      <c r="F47" s="19"/>
      <c r="G47" s="19"/>
      <c r="H47" s="19"/>
      <c r="I47" s="19"/>
      <c r="J47" s="19"/>
      <c r="K47" s="19"/>
    </row>
    <row r="48" spans="2:12" ht="18" customHeight="1" thickBot="1" x14ac:dyDescent="0.45">
      <c r="B48" s="469" t="s">
        <v>311</v>
      </c>
      <c r="C48" s="470"/>
      <c r="D48" s="470"/>
      <c r="E48" s="471"/>
      <c r="F48" s="209" t="s">
        <v>123</v>
      </c>
      <c r="G48" s="19"/>
      <c r="H48" s="19"/>
      <c r="I48" s="19"/>
      <c r="J48" s="19"/>
      <c r="K48" s="19"/>
    </row>
    <row r="49" spans="2:11" ht="15" customHeight="1" thickBot="1" x14ac:dyDescent="0.45">
      <c r="B49" s="329" t="s">
        <v>62</v>
      </c>
      <c r="C49" s="330" t="s">
        <v>28</v>
      </c>
      <c r="D49" s="325" t="s">
        <v>245</v>
      </c>
      <c r="E49" s="325"/>
      <c r="F49" s="327">
        <v>1000</v>
      </c>
      <c r="G49" s="41"/>
      <c r="H49" s="41"/>
      <c r="I49" s="8"/>
      <c r="J49" s="201"/>
      <c r="K49" s="8"/>
    </row>
    <row r="50" spans="2:11" ht="15" customHeight="1" thickBot="1" x14ac:dyDescent="0.45">
      <c r="B50" s="329" t="s">
        <v>62</v>
      </c>
      <c r="C50" s="331">
        <v>11</v>
      </c>
      <c r="D50" s="326" t="s">
        <v>245</v>
      </c>
      <c r="E50" s="326"/>
      <c r="F50" s="328">
        <v>1000</v>
      </c>
      <c r="G50" s="10"/>
      <c r="H50" s="10"/>
      <c r="I50" s="10"/>
      <c r="J50" s="202"/>
      <c r="K50" s="10"/>
    </row>
    <row r="51" spans="2:11" ht="15" customHeight="1" thickBot="1" x14ac:dyDescent="0.45">
      <c r="B51" s="329" t="s">
        <v>62</v>
      </c>
      <c r="C51" s="331">
        <v>18</v>
      </c>
      <c r="D51" s="326" t="s">
        <v>245</v>
      </c>
      <c r="E51" s="326"/>
      <c r="F51" s="328">
        <v>1000</v>
      </c>
      <c r="G51" s="10"/>
      <c r="H51" s="10"/>
      <c r="I51" s="10"/>
      <c r="J51" s="201"/>
      <c r="K51" s="8"/>
    </row>
    <row r="52" spans="2:11" ht="15" customHeight="1" thickBot="1" x14ac:dyDescent="0.45">
      <c r="B52" s="329" t="s">
        <v>62</v>
      </c>
      <c r="C52" s="331">
        <v>25</v>
      </c>
      <c r="D52" s="326" t="s">
        <v>245</v>
      </c>
      <c r="E52" s="326"/>
      <c r="F52" s="328">
        <v>1000</v>
      </c>
      <c r="G52" s="10"/>
      <c r="H52" s="10"/>
      <c r="I52" s="10"/>
      <c r="J52" s="201"/>
      <c r="K52" s="10"/>
    </row>
    <row r="53" spans="2:11" ht="8.15" customHeight="1" x14ac:dyDescent="0.4">
      <c r="B53" s="210"/>
      <c r="C53" s="211"/>
      <c r="D53" s="212" t="s">
        <v>245</v>
      </c>
      <c r="E53" s="212"/>
      <c r="F53" s="213"/>
      <c r="G53" s="10"/>
      <c r="H53" s="10"/>
      <c r="I53" s="21"/>
      <c r="J53" s="201"/>
      <c r="K53" s="10"/>
    </row>
    <row r="54" spans="2:11" ht="14.15" customHeight="1" thickBot="1" x14ac:dyDescent="0.45">
      <c r="B54" s="466" t="s">
        <v>296</v>
      </c>
      <c r="C54" s="467"/>
      <c r="D54" s="467"/>
      <c r="E54" s="214"/>
      <c r="F54" s="215">
        <f>SUM(F49:F52)</f>
        <v>4000</v>
      </c>
      <c r="G54" s="10"/>
      <c r="H54" s="10"/>
      <c r="I54" s="21"/>
      <c r="J54" s="203"/>
      <c r="K54" s="10"/>
    </row>
    <row r="55" spans="2:11" ht="15.45" x14ac:dyDescent="0.4">
      <c r="B55" s="26"/>
      <c r="C55" s="8"/>
      <c r="D55" s="8"/>
      <c r="E55" s="8"/>
      <c r="F55" s="8"/>
      <c r="G55" s="10"/>
      <c r="H55" s="10"/>
      <c r="I55" s="27"/>
      <c r="J55" s="27"/>
      <c r="K55" s="10"/>
    </row>
    <row r="56" spans="2:11" ht="15.45" x14ac:dyDescent="0.4">
      <c r="B56" s="25"/>
      <c r="C56" s="8"/>
      <c r="D56" s="8"/>
      <c r="E56" s="8"/>
      <c r="F56" s="8"/>
      <c r="G56" s="41"/>
      <c r="H56" s="41"/>
      <c r="I56" s="21"/>
      <c r="J56" s="27"/>
      <c r="K56" s="10"/>
    </row>
    <row r="57" spans="2:11" ht="15.45" x14ac:dyDescent="0.4">
      <c r="B57" s="26"/>
      <c r="C57" s="8"/>
      <c r="D57" s="6"/>
      <c r="E57" s="6"/>
      <c r="F57" s="8"/>
      <c r="G57" s="10"/>
      <c r="H57" s="10"/>
      <c r="I57" s="10"/>
      <c r="J57" s="8"/>
      <c r="K57" s="10"/>
    </row>
    <row r="58" spans="2:11" ht="15.45" x14ac:dyDescent="0.4">
      <c r="F58" s="8"/>
      <c r="I58" s="27"/>
    </row>
  </sheetData>
  <mergeCells count="9">
    <mergeCell ref="B48:E48"/>
    <mergeCell ref="B54:D54"/>
    <mergeCell ref="B7:L7"/>
    <mergeCell ref="F9:J9"/>
    <mergeCell ref="G11:G12"/>
    <mergeCell ref="H11:H12"/>
    <mergeCell ref="I11:I12"/>
    <mergeCell ref="J11:K11"/>
    <mergeCell ref="L11:L12"/>
  </mergeCells>
  <pageMargins left="0.11811023622047245" right="0.11811023622047245" top="0" bottom="0" header="0.31496062992125984" footer="0.31496062992125984"/>
  <pageSetup paperSize="9" scale="80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0325D-C1C3-4790-A4B4-09195A9E37CF}">
  <dimension ref="B1:S84"/>
  <sheetViews>
    <sheetView topLeftCell="A15" workbookViewId="0">
      <selection activeCell="M33" sqref="M33"/>
    </sheetView>
  </sheetViews>
  <sheetFormatPr defaultRowHeight="14.6" x14ac:dyDescent="0.4"/>
  <cols>
    <col min="1" max="1" width="3.3046875" customWidth="1"/>
    <col min="2" max="2" width="1.3046875" customWidth="1"/>
    <col min="3" max="3" width="16.69140625" customWidth="1"/>
    <col min="4" max="4" width="0.53515625" customWidth="1"/>
    <col min="5" max="5" width="8.69140625" customWidth="1"/>
    <col min="6" max="6" width="1.4609375" customWidth="1"/>
    <col min="7" max="7" width="12" customWidth="1"/>
    <col min="8" max="8" width="19.07421875" customWidth="1"/>
    <col min="9" max="9" width="16.53515625" customWidth="1"/>
    <col min="10" max="10" width="19.4609375" customWidth="1"/>
    <col min="11" max="11" width="16.07421875" customWidth="1"/>
    <col min="12" max="12" width="3" customWidth="1"/>
    <col min="13" max="13" width="18.3046875" customWidth="1"/>
    <col min="14" max="14" width="1" customWidth="1"/>
    <col min="15" max="15" width="12.84375" customWidth="1"/>
    <col min="16" max="16" width="9.53515625" bestFit="1" customWidth="1"/>
    <col min="17" max="17" width="9.84375" customWidth="1"/>
  </cols>
  <sheetData>
    <row r="1" spans="3:15" ht="6" customHeight="1" x14ac:dyDescent="0.4"/>
    <row r="2" spans="3:15" ht="6" customHeight="1" x14ac:dyDescent="0.4"/>
    <row r="3" spans="3:15" ht="6" customHeight="1" x14ac:dyDescent="0.4"/>
    <row r="4" spans="3:15" ht="20.149999999999999" customHeight="1" x14ac:dyDescent="0.4">
      <c r="C4" s="476" t="s">
        <v>0</v>
      </c>
      <c r="D4" s="476"/>
      <c r="E4" s="476"/>
      <c r="F4" s="476"/>
      <c r="G4" s="476"/>
      <c r="H4" s="476"/>
      <c r="I4" s="476"/>
      <c r="J4" s="476"/>
      <c r="K4" s="476"/>
      <c r="L4" s="476"/>
      <c r="M4" s="476"/>
      <c r="N4" s="476"/>
    </row>
    <row r="5" spans="3:15" ht="20.149999999999999" customHeight="1" x14ac:dyDescent="0.45">
      <c r="C5" s="492" t="s">
        <v>333</v>
      </c>
      <c r="D5" s="492"/>
      <c r="E5" s="492"/>
      <c r="F5" s="492"/>
      <c r="G5" s="492"/>
      <c r="H5" s="492"/>
      <c r="I5" s="492"/>
      <c r="J5" s="492"/>
      <c r="K5" s="492"/>
      <c r="L5" s="492"/>
      <c r="M5" s="492"/>
      <c r="N5" s="243"/>
    </row>
    <row r="6" spans="3:15" ht="20.149999999999999" customHeight="1" x14ac:dyDescent="0.45">
      <c r="C6" s="492" t="s">
        <v>245</v>
      </c>
      <c r="D6" s="492"/>
      <c r="E6" s="492"/>
      <c r="F6" s="492"/>
      <c r="G6" s="492"/>
      <c r="H6" s="492"/>
      <c r="I6" s="492"/>
      <c r="J6" s="492"/>
      <c r="K6" s="492"/>
      <c r="L6" s="492"/>
      <c r="M6" s="492"/>
      <c r="N6" s="243"/>
    </row>
    <row r="7" spans="3:15" ht="20.149999999999999" customHeight="1" x14ac:dyDescent="0.45">
      <c r="C7" s="476" t="s">
        <v>318</v>
      </c>
      <c r="D7" s="476"/>
      <c r="E7" s="476"/>
      <c r="F7" s="476"/>
      <c r="G7" s="476"/>
      <c r="H7" s="476"/>
      <c r="I7" s="476"/>
      <c r="J7" s="476"/>
      <c r="K7" s="476"/>
      <c r="L7" s="476"/>
      <c r="M7" s="476"/>
      <c r="N7" s="243"/>
    </row>
    <row r="8" spans="3:15" ht="20.149999999999999" customHeight="1" x14ac:dyDescent="0.45">
      <c r="C8" s="476" t="s">
        <v>530</v>
      </c>
      <c r="D8" s="476"/>
      <c r="E8" s="476"/>
      <c r="F8" s="476"/>
      <c r="G8" s="476"/>
      <c r="H8" s="476"/>
      <c r="I8" s="476"/>
      <c r="J8" s="476"/>
      <c r="K8" s="476"/>
      <c r="L8" s="476"/>
      <c r="M8" s="476"/>
      <c r="N8" s="221"/>
    </row>
    <row r="9" spans="3:15" ht="15" customHeight="1" x14ac:dyDescent="0.4"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</row>
    <row r="10" spans="3:15" ht="15" customHeight="1" x14ac:dyDescent="0.45">
      <c r="C10" s="220" t="s">
        <v>518</v>
      </c>
      <c r="D10" s="221"/>
      <c r="E10" s="221"/>
      <c r="F10" s="221"/>
      <c r="G10" s="221"/>
      <c r="H10" s="221"/>
      <c r="I10" s="221"/>
      <c r="J10" s="221"/>
      <c r="K10" s="221"/>
      <c r="L10" s="247" t="s">
        <v>326</v>
      </c>
      <c r="M10" s="219">
        <v>25.619999999999436</v>
      </c>
      <c r="N10" s="8"/>
      <c r="O10" s="135" t="s">
        <v>245</v>
      </c>
    </row>
    <row r="11" spans="3:15" ht="15" customHeight="1" x14ac:dyDescent="0.45">
      <c r="C11" s="221"/>
      <c r="D11" s="221"/>
      <c r="E11" s="221"/>
      <c r="F11" s="221"/>
      <c r="G11" s="221"/>
      <c r="H11" s="221"/>
      <c r="I11" s="221"/>
      <c r="J11" s="221"/>
      <c r="K11" s="221"/>
      <c r="L11" s="8"/>
      <c r="M11" s="8"/>
      <c r="N11" s="8"/>
    </row>
    <row r="12" spans="3:15" ht="15" customHeight="1" x14ac:dyDescent="0.45">
      <c r="C12" s="220" t="s">
        <v>519</v>
      </c>
      <c r="D12" s="220"/>
      <c r="E12" s="221"/>
      <c r="F12" s="221"/>
      <c r="G12" s="221"/>
      <c r="H12" s="221"/>
      <c r="I12" s="221"/>
      <c r="J12" s="221"/>
      <c r="K12" s="221"/>
      <c r="L12" s="8"/>
      <c r="M12" s="8"/>
      <c r="N12" s="8"/>
    </row>
    <row r="13" spans="3:15" ht="15" customHeight="1" x14ac:dyDescent="0.45">
      <c r="C13" s="221"/>
      <c r="D13" s="221"/>
      <c r="E13" s="221"/>
      <c r="F13" s="221"/>
      <c r="G13" s="221"/>
      <c r="H13" s="221"/>
      <c r="I13" s="226" t="s">
        <v>245</v>
      </c>
      <c r="J13" s="226"/>
      <c r="K13" s="226" t="s">
        <v>245</v>
      </c>
      <c r="L13" s="19"/>
      <c r="M13" s="8"/>
      <c r="N13" s="8"/>
    </row>
    <row r="14" spans="3:15" ht="15" customHeight="1" x14ac:dyDescent="0.45">
      <c r="C14" s="476" t="s">
        <v>305</v>
      </c>
      <c r="D14" s="476"/>
      <c r="E14" s="476"/>
      <c r="F14" s="221"/>
      <c r="G14" s="221" t="s">
        <v>320</v>
      </c>
      <c r="H14" s="221"/>
      <c r="I14" s="226"/>
      <c r="J14" s="226"/>
      <c r="K14" s="226"/>
      <c r="L14" s="19"/>
      <c r="M14" s="8"/>
      <c r="N14" s="8"/>
    </row>
    <row r="15" spans="3:15" ht="15" customHeight="1" x14ac:dyDescent="0.45">
      <c r="C15" s="238"/>
      <c r="D15" s="238"/>
      <c r="E15" s="238"/>
      <c r="F15" s="221"/>
      <c r="G15" s="221"/>
      <c r="H15" s="221"/>
      <c r="I15" s="226"/>
      <c r="J15" s="226"/>
      <c r="K15" s="226"/>
      <c r="L15" s="19"/>
      <c r="M15" s="8"/>
      <c r="N15" s="8"/>
    </row>
    <row r="16" spans="3:15" ht="15" customHeight="1" x14ac:dyDescent="0.45">
      <c r="C16" s="476" t="s">
        <v>245</v>
      </c>
      <c r="D16" s="476"/>
      <c r="E16" s="476"/>
      <c r="F16" s="221"/>
      <c r="G16" s="221"/>
      <c r="H16" s="239" t="s">
        <v>316</v>
      </c>
      <c r="I16" s="239" t="s">
        <v>2</v>
      </c>
      <c r="J16" s="239" t="s">
        <v>407</v>
      </c>
      <c r="K16" s="239" t="s">
        <v>306</v>
      </c>
      <c r="L16" s="19"/>
      <c r="M16" s="8"/>
      <c r="N16" s="8"/>
    </row>
    <row r="17" spans="3:16" ht="15" customHeight="1" x14ac:dyDescent="0.45">
      <c r="C17" s="221"/>
      <c r="D17" s="221"/>
      <c r="E17" s="226" t="s">
        <v>245</v>
      </c>
      <c r="F17" s="226"/>
      <c r="G17" s="240" t="s">
        <v>245</v>
      </c>
      <c r="H17" s="222" t="s">
        <v>245</v>
      </c>
      <c r="I17" s="241" t="s">
        <v>245</v>
      </c>
      <c r="J17" s="241"/>
      <c r="K17" s="230" t="s">
        <v>245</v>
      </c>
      <c r="L17" s="201"/>
      <c r="M17" s="8"/>
      <c r="N17" s="8"/>
    </row>
    <row r="18" spans="3:16" ht="20.149999999999999" customHeight="1" x14ac:dyDescent="0.45">
      <c r="C18" s="221"/>
      <c r="D18" s="221"/>
      <c r="E18" s="226" t="s">
        <v>69</v>
      </c>
      <c r="F18" s="226"/>
      <c r="G18" s="240" t="s">
        <v>154</v>
      </c>
      <c r="H18" s="222">
        <v>1881</v>
      </c>
      <c r="I18" s="222">
        <v>700</v>
      </c>
      <c r="J18" s="222">
        <v>0</v>
      </c>
      <c r="K18" s="222">
        <f>H18-I18-J18</f>
        <v>1181</v>
      </c>
      <c r="L18" s="216"/>
      <c r="M18" s="8"/>
      <c r="N18" s="8"/>
    </row>
    <row r="19" spans="3:16" ht="20.149999999999999" customHeight="1" x14ac:dyDescent="0.45">
      <c r="C19" s="221"/>
      <c r="D19" s="221"/>
      <c r="E19" s="226" t="s">
        <v>69</v>
      </c>
      <c r="F19" s="226"/>
      <c r="G19" s="240" t="s">
        <v>16</v>
      </c>
      <c r="H19" s="223">
        <v>2214</v>
      </c>
      <c r="I19" s="222">
        <v>450</v>
      </c>
      <c r="J19" s="222">
        <v>0</v>
      </c>
      <c r="K19" s="222">
        <f>H19-I19</f>
        <v>1764</v>
      </c>
      <c r="L19" s="216"/>
      <c r="M19" s="8"/>
      <c r="N19" s="8"/>
      <c r="O19" s="272" t="s">
        <v>245</v>
      </c>
    </row>
    <row r="20" spans="3:16" ht="20.149999999999999" customHeight="1" x14ac:dyDescent="0.45">
      <c r="C20" s="221"/>
      <c r="D20" s="221"/>
      <c r="E20" s="226" t="s">
        <v>69</v>
      </c>
      <c r="F20" s="226"/>
      <c r="G20" s="240">
        <v>15</v>
      </c>
      <c r="H20" s="223">
        <v>1200</v>
      </c>
      <c r="I20" s="222">
        <v>600</v>
      </c>
      <c r="J20" s="222">
        <v>0</v>
      </c>
      <c r="K20" s="222">
        <f>H20-I20</f>
        <v>600</v>
      </c>
      <c r="L20" s="216"/>
      <c r="M20" s="8"/>
      <c r="N20" s="8"/>
    </row>
    <row r="21" spans="3:16" ht="20.149999999999999" customHeight="1" x14ac:dyDescent="0.75">
      <c r="C21" s="221"/>
      <c r="D21" s="221"/>
      <c r="E21" s="226" t="s">
        <v>69</v>
      </c>
      <c r="F21" s="226"/>
      <c r="G21" s="240">
        <v>22</v>
      </c>
      <c r="H21" s="265">
        <v>1210</v>
      </c>
      <c r="I21" s="266">
        <v>0</v>
      </c>
      <c r="J21" s="266">
        <v>0</v>
      </c>
      <c r="K21" s="266">
        <f>H21-I21</f>
        <v>1210</v>
      </c>
      <c r="L21" s="216"/>
      <c r="M21" s="44" t="s">
        <v>245</v>
      </c>
      <c r="N21" s="8"/>
    </row>
    <row r="22" spans="3:16" ht="15" customHeight="1" x14ac:dyDescent="0.45">
      <c r="C22" s="221"/>
      <c r="D22" s="221"/>
      <c r="E22" s="226"/>
      <c r="F22" s="226"/>
      <c r="G22" s="240"/>
      <c r="H22" s="223"/>
      <c r="I22" s="222"/>
      <c r="J22" s="222"/>
      <c r="K22" s="222"/>
      <c r="L22" s="216"/>
      <c r="M22" s="44"/>
      <c r="N22" s="8"/>
    </row>
    <row r="23" spans="3:16" ht="15" customHeight="1" x14ac:dyDescent="0.45">
      <c r="C23" s="221"/>
      <c r="D23" s="221"/>
      <c r="E23" s="238" t="s">
        <v>65</v>
      </c>
      <c r="F23" s="221"/>
      <c r="G23" s="226"/>
      <c r="H23" s="288">
        <f>SUM(H18:H21)</f>
        <v>6505</v>
      </c>
      <c r="I23" s="296">
        <f>SUM(I18:I21)</f>
        <v>1750</v>
      </c>
      <c r="J23" s="288">
        <f>SUM(J18:J21)</f>
        <v>0</v>
      </c>
      <c r="K23" s="248">
        <f>SUM(K18:K21)</f>
        <v>4755</v>
      </c>
      <c r="L23" s="218"/>
      <c r="M23" s="44" t="s">
        <v>245</v>
      </c>
      <c r="N23" s="8"/>
      <c r="O23" s="7">
        <f>H23-I23</f>
        <v>4755</v>
      </c>
      <c r="P23" s="135" t="s">
        <v>245</v>
      </c>
    </row>
    <row r="24" spans="3:16" ht="15" customHeight="1" x14ac:dyDescent="0.45">
      <c r="C24" s="221"/>
      <c r="D24" s="221"/>
      <c r="E24" s="221"/>
      <c r="F24" s="221"/>
      <c r="G24" s="226"/>
      <c r="H24" s="224"/>
      <c r="I24" s="222"/>
      <c r="J24" s="222"/>
      <c r="K24" s="222"/>
      <c r="L24" s="216"/>
      <c r="M24" s="44"/>
      <c r="N24" s="8"/>
    </row>
    <row r="25" spans="3:16" ht="15.75" customHeight="1" x14ac:dyDescent="0.45">
      <c r="C25" s="220" t="s">
        <v>245</v>
      </c>
      <c r="D25" s="221"/>
      <c r="E25" s="221"/>
      <c r="F25" s="221"/>
      <c r="G25" s="226"/>
      <c r="H25" s="224"/>
      <c r="I25" s="222"/>
      <c r="J25" s="222"/>
      <c r="K25" s="248" t="s">
        <v>245</v>
      </c>
      <c r="L25" s="216"/>
      <c r="M25" s="44"/>
      <c r="N25" s="8"/>
    </row>
    <row r="26" spans="3:16" ht="15" customHeight="1" x14ac:dyDescent="0.45">
      <c r="C26" s="221"/>
      <c r="D26" s="221"/>
      <c r="E26" s="221"/>
      <c r="F26" s="221"/>
      <c r="G26" s="226"/>
      <c r="H26" s="224"/>
      <c r="I26" s="222"/>
      <c r="J26" s="222"/>
      <c r="K26" s="222"/>
      <c r="L26" s="216"/>
      <c r="M26" s="44"/>
      <c r="N26" s="8"/>
    </row>
    <row r="27" spans="3:16" ht="15" customHeight="1" x14ac:dyDescent="0.45">
      <c r="C27" s="495" t="s">
        <v>376</v>
      </c>
      <c r="D27" s="495"/>
      <c r="E27" s="495"/>
      <c r="F27" s="495"/>
      <c r="G27" s="495"/>
      <c r="H27" s="495"/>
      <c r="I27" s="495"/>
      <c r="J27" s="297"/>
      <c r="K27" s="219" t="s">
        <v>245</v>
      </c>
      <c r="L27" s="219"/>
      <c r="M27" s="225" t="s">
        <v>245</v>
      </c>
      <c r="N27" s="8"/>
    </row>
    <row r="28" spans="3:16" ht="15" customHeight="1" x14ac:dyDescent="0.45">
      <c r="C28" s="220"/>
      <c r="D28" s="221"/>
      <c r="E28" s="221"/>
      <c r="F28" s="221"/>
      <c r="G28" s="221"/>
      <c r="H28" s="226"/>
      <c r="I28" s="230"/>
      <c r="J28" s="230"/>
      <c r="K28" s="219"/>
      <c r="L28" s="219"/>
      <c r="M28" s="225"/>
      <c r="N28" s="8"/>
    </row>
    <row r="29" spans="3:16" ht="22.95" customHeight="1" x14ac:dyDescent="0.45">
      <c r="C29" s="220"/>
      <c r="D29" s="221"/>
      <c r="E29" s="475" t="s">
        <v>377</v>
      </c>
      <c r="F29" s="475"/>
      <c r="G29" s="475"/>
      <c r="H29" s="475"/>
      <c r="I29" s="230"/>
      <c r="J29" s="230"/>
      <c r="K29" s="333">
        <f>'Sept-2024-Sched A'!I41</f>
        <v>950</v>
      </c>
      <c r="L29" s="219"/>
      <c r="M29" s="231">
        <f>K29+K23</f>
        <v>5705</v>
      </c>
      <c r="N29" s="8"/>
      <c r="O29" s="304" t="s">
        <v>245</v>
      </c>
      <c r="P29" s="135" t="s">
        <v>245</v>
      </c>
    </row>
    <row r="30" spans="3:16" ht="15" customHeight="1" x14ac:dyDescent="0.75">
      <c r="C30" s="242"/>
      <c r="D30" s="236"/>
      <c r="E30" s="243"/>
      <c r="F30" s="236"/>
      <c r="G30" s="226"/>
      <c r="H30" s="226"/>
      <c r="I30" s="226"/>
      <c r="J30" s="226"/>
      <c r="K30" s="222"/>
      <c r="L30" s="222"/>
      <c r="M30" s="244"/>
      <c r="N30" s="8"/>
    </row>
    <row r="31" spans="3:16" ht="15" customHeight="1" x14ac:dyDescent="0.45">
      <c r="C31" s="220" t="s">
        <v>442</v>
      </c>
      <c r="D31" s="220"/>
      <c r="E31" s="221"/>
      <c r="F31" s="221"/>
      <c r="G31" s="221"/>
      <c r="H31" s="221"/>
      <c r="I31" s="221"/>
      <c r="J31" s="221"/>
      <c r="K31" s="221"/>
      <c r="L31" s="221"/>
      <c r="M31" s="300">
        <v>0</v>
      </c>
      <c r="N31" s="8"/>
    </row>
    <row r="32" spans="3:16" ht="15" customHeight="1" x14ac:dyDescent="0.75">
      <c r="C32" s="242"/>
      <c r="D32" s="236"/>
      <c r="E32" s="243"/>
      <c r="F32" s="236"/>
      <c r="G32" s="226"/>
      <c r="H32" s="226"/>
      <c r="I32" s="226"/>
      <c r="J32" s="226"/>
      <c r="K32" s="222"/>
      <c r="L32" s="222"/>
      <c r="M32" s="244"/>
      <c r="N32" s="8"/>
    </row>
    <row r="33" spans="3:15" ht="20.149999999999999" customHeight="1" x14ac:dyDescent="0.45">
      <c r="C33" s="220" t="s">
        <v>313</v>
      </c>
      <c r="D33" s="220"/>
      <c r="E33" s="221"/>
      <c r="F33" s="221"/>
      <c r="G33" s="221"/>
      <c r="H33" s="221"/>
      <c r="I33" s="221"/>
      <c r="J33" s="221"/>
      <c r="K33" s="221"/>
      <c r="L33" s="247" t="s">
        <v>326</v>
      </c>
      <c r="M33" s="219">
        <f>M10+M29+M31</f>
        <v>5730.619999999999</v>
      </c>
      <c r="N33" s="8"/>
      <c r="O33" t="s">
        <v>245</v>
      </c>
    </row>
    <row r="34" spans="3:15" ht="13.5" customHeight="1" x14ac:dyDescent="0.45">
      <c r="C34" s="220"/>
      <c r="D34" s="220"/>
      <c r="E34" s="221"/>
      <c r="F34" s="221"/>
      <c r="G34" s="221"/>
      <c r="H34" s="221"/>
      <c r="I34" s="221"/>
      <c r="J34" s="221"/>
      <c r="K34" s="221"/>
      <c r="L34" s="221"/>
      <c r="M34" s="221"/>
      <c r="N34" s="8"/>
    </row>
    <row r="35" spans="3:15" ht="13.5" customHeight="1" x14ac:dyDescent="0.45">
      <c r="C35" s="220"/>
      <c r="D35" s="220"/>
      <c r="E35" s="221"/>
      <c r="F35" s="221"/>
      <c r="G35" s="221"/>
      <c r="H35" s="221"/>
      <c r="I35" s="221"/>
      <c r="J35" s="221"/>
      <c r="K35" s="221"/>
      <c r="L35" s="221"/>
      <c r="M35" s="221"/>
      <c r="N35" s="8"/>
    </row>
    <row r="36" spans="3:15" ht="13.5" customHeight="1" x14ac:dyDescent="0.45">
      <c r="C36" s="220"/>
      <c r="D36" s="220"/>
      <c r="E36" s="221"/>
      <c r="F36" s="221"/>
      <c r="G36" s="221"/>
      <c r="H36" s="221"/>
      <c r="I36" s="221"/>
      <c r="J36" s="221"/>
      <c r="K36" s="221"/>
      <c r="L36" s="221"/>
      <c r="M36" s="221"/>
      <c r="N36" s="8"/>
    </row>
    <row r="37" spans="3:15" ht="13.5" customHeight="1" x14ac:dyDescent="0.45">
      <c r="C37" s="220"/>
      <c r="D37" s="220"/>
      <c r="E37" s="221"/>
      <c r="F37" s="221"/>
      <c r="G37" s="221"/>
      <c r="H37" s="221"/>
      <c r="I37" s="221"/>
      <c r="J37" s="221"/>
      <c r="K37" s="221"/>
      <c r="L37" s="221"/>
      <c r="M37" s="221"/>
      <c r="N37" s="8"/>
    </row>
    <row r="38" spans="3:15" ht="13.5" customHeight="1" x14ac:dyDescent="0.45">
      <c r="C38" s="220" t="s">
        <v>529</v>
      </c>
      <c r="D38" s="220"/>
      <c r="E38" s="221"/>
      <c r="F38" s="221"/>
      <c r="G38" s="221"/>
      <c r="H38" s="221"/>
      <c r="I38" s="221"/>
      <c r="J38" s="221"/>
      <c r="K38" s="221"/>
      <c r="L38" s="221"/>
      <c r="M38" s="221"/>
      <c r="N38" s="8"/>
    </row>
    <row r="39" spans="3:15" ht="15" customHeight="1" x14ac:dyDescent="0.45">
      <c r="C39" s="221" t="s">
        <v>245</v>
      </c>
      <c r="D39" s="221"/>
      <c r="E39" s="221" t="s">
        <v>245</v>
      </c>
      <c r="F39" s="221"/>
      <c r="G39" s="221"/>
      <c r="H39" s="221"/>
      <c r="I39" s="221"/>
      <c r="J39" s="221"/>
      <c r="K39" s="221"/>
      <c r="L39" s="221"/>
      <c r="M39" s="221"/>
      <c r="N39" s="8"/>
    </row>
    <row r="40" spans="3:15" ht="15" customHeight="1" x14ac:dyDescent="0.45">
      <c r="C40" s="239" t="s">
        <v>5</v>
      </c>
      <c r="D40" s="226"/>
      <c r="E40" s="226" t="s">
        <v>257</v>
      </c>
      <c r="F40" s="226"/>
      <c r="G40" s="487" t="s">
        <v>373</v>
      </c>
      <c r="H40" s="487"/>
      <c r="I40" s="487"/>
      <c r="J40" s="236"/>
      <c r="K40" s="236" t="s">
        <v>123</v>
      </c>
      <c r="L40" s="221"/>
      <c r="M40" s="226" t="s">
        <v>245</v>
      </c>
      <c r="N40" s="19"/>
    </row>
    <row r="41" spans="3:15" ht="15" customHeight="1" x14ac:dyDescent="0.45">
      <c r="C41" s="226"/>
      <c r="D41" s="226"/>
      <c r="E41" s="226"/>
      <c r="F41" s="226"/>
      <c r="G41" s="221"/>
      <c r="H41" s="221"/>
      <c r="I41" s="221"/>
      <c r="J41" s="221"/>
      <c r="K41" s="221"/>
      <c r="L41" s="221"/>
      <c r="M41" s="226"/>
      <c r="N41" s="19"/>
    </row>
    <row r="42" spans="3:15" ht="15" customHeight="1" x14ac:dyDescent="0.45">
      <c r="C42" s="292" t="s">
        <v>521</v>
      </c>
      <c r="D42" s="226"/>
      <c r="E42" s="226"/>
      <c r="F42" s="226"/>
      <c r="G42" s="228" t="s">
        <v>533</v>
      </c>
      <c r="H42" s="221"/>
      <c r="I42" s="221"/>
      <c r="J42" s="221"/>
      <c r="K42" s="222">
        <v>119</v>
      </c>
      <c r="L42" s="221"/>
      <c r="M42" s="226"/>
      <c r="N42" s="19"/>
    </row>
    <row r="43" spans="3:15" ht="15" customHeight="1" x14ac:dyDescent="0.45">
      <c r="C43" s="292" t="s">
        <v>522</v>
      </c>
      <c r="D43" s="226"/>
      <c r="E43" s="226"/>
      <c r="F43" s="226"/>
      <c r="G43" s="228" t="s">
        <v>534</v>
      </c>
      <c r="H43" s="221"/>
      <c r="I43" s="221"/>
      <c r="J43" s="221"/>
      <c r="K43" s="222">
        <v>170</v>
      </c>
      <c r="L43" s="221"/>
      <c r="M43" s="226"/>
      <c r="N43" s="19"/>
    </row>
    <row r="44" spans="3:15" ht="15" customHeight="1" x14ac:dyDescent="0.45">
      <c r="C44" s="292" t="s">
        <v>523</v>
      </c>
      <c r="D44" s="226"/>
      <c r="E44" s="226"/>
      <c r="F44" s="226"/>
      <c r="G44" s="228" t="s">
        <v>535</v>
      </c>
      <c r="H44" s="221"/>
      <c r="I44" s="221"/>
      <c r="J44" s="221"/>
      <c r="K44" s="222">
        <v>500</v>
      </c>
      <c r="L44" s="221"/>
      <c r="M44" s="226"/>
      <c r="N44" s="19"/>
    </row>
    <row r="45" spans="3:15" ht="15" customHeight="1" x14ac:dyDescent="0.45">
      <c r="C45" s="292" t="s">
        <v>520</v>
      </c>
      <c r="D45" s="226"/>
      <c r="E45" s="226"/>
      <c r="F45" s="226"/>
      <c r="G45" s="228" t="s">
        <v>536</v>
      </c>
      <c r="H45" s="221"/>
      <c r="I45" s="221"/>
      <c r="J45" s="221"/>
      <c r="K45" s="222">
        <v>668.6</v>
      </c>
      <c r="L45" s="221"/>
      <c r="M45" s="226"/>
      <c r="N45" s="19"/>
    </row>
    <row r="46" spans="3:15" ht="20.149999999999999" customHeight="1" x14ac:dyDescent="0.45">
      <c r="C46" s="292" t="s">
        <v>520</v>
      </c>
      <c r="D46" s="226"/>
      <c r="E46" s="226"/>
      <c r="F46" s="226"/>
      <c r="G46" s="228" t="s">
        <v>541</v>
      </c>
      <c r="H46" s="221"/>
      <c r="I46" s="221"/>
      <c r="J46" s="221"/>
      <c r="K46" s="222">
        <v>632.85</v>
      </c>
      <c r="L46" s="222"/>
      <c r="M46" s="222"/>
      <c r="N46" s="19"/>
    </row>
    <row r="47" spans="3:15" ht="20.149999999999999" customHeight="1" x14ac:dyDescent="0.45">
      <c r="C47" s="292" t="s">
        <v>524</v>
      </c>
      <c r="D47" s="226"/>
      <c r="E47" s="226"/>
      <c r="F47" s="226"/>
      <c r="G47" s="228" t="s">
        <v>545</v>
      </c>
      <c r="H47" s="221"/>
      <c r="I47" s="221"/>
      <c r="J47" s="221"/>
      <c r="K47" s="222">
        <v>1000</v>
      </c>
      <c r="L47" s="222"/>
      <c r="M47" s="222"/>
      <c r="N47" s="19"/>
    </row>
    <row r="48" spans="3:15" ht="20.149999999999999" customHeight="1" x14ac:dyDescent="0.45">
      <c r="C48" s="292" t="s">
        <v>525</v>
      </c>
      <c r="D48" s="226"/>
      <c r="E48" s="226"/>
      <c r="F48" s="226"/>
      <c r="G48" s="228" t="s">
        <v>539</v>
      </c>
      <c r="H48" s="221"/>
      <c r="I48" s="221"/>
      <c r="J48" s="221"/>
      <c r="K48" s="222">
        <v>500</v>
      </c>
      <c r="L48" s="222"/>
      <c r="M48" s="222"/>
      <c r="N48" s="19"/>
    </row>
    <row r="49" spans="3:19" ht="20.149999999999999" customHeight="1" x14ac:dyDescent="0.45">
      <c r="C49" s="292" t="s">
        <v>526</v>
      </c>
      <c r="D49" s="226"/>
      <c r="E49" s="226"/>
      <c r="F49" s="226"/>
      <c r="G49" s="228" t="s">
        <v>540</v>
      </c>
      <c r="H49" s="221"/>
      <c r="I49" s="221"/>
      <c r="J49" s="221"/>
      <c r="K49" s="222">
        <v>200</v>
      </c>
      <c r="L49" s="222"/>
      <c r="M49" s="222"/>
      <c r="N49" s="19"/>
    </row>
    <row r="50" spans="3:19" ht="20.149999999999999" customHeight="1" x14ac:dyDescent="0.45">
      <c r="C50" s="292" t="s">
        <v>526</v>
      </c>
      <c r="D50" s="226"/>
      <c r="E50" s="226"/>
      <c r="F50" s="226"/>
      <c r="G50" s="228" t="s">
        <v>537</v>
      </c>
      <c r="H50" s="221"/>
      <c r="I50" s="221"/>
      <c r="J50" s="221"/>
      <c r="K50" s="222">
        <v>2500</v>
      </c>
      <c r="L50" s="222"/>
      <c r="M50" s="222"/>
      <c r="N50" s="19"/>
    </row>
    <row r="51" spans="3:19" ht="20.149999999999999" customHeight="1" x14ac:dyDescent="0.75">
      <c r="C51" s="292" t="s">
        <v>524</v>
      </c>
      <c r="D51" s="226"/>
      <c r="E51" s="226"/>
      <c r="F51" s="226"/>
      <c r="G51" s="228" t="s">
        <v>538</v>
      </c>
      <c r="H51" s="287"/>
      <c r="I51" s="287"/>
      <c r="J51" s="287"/>
      <c r="K51" s="266">
        <v>900</v>
      </c>
      <c r="L51" s="222"/>
      <c r="M51" s="266">
        <f>SUM(K42:K51)</f>
        <v>7190.45</v>
      </c>
      <c r="N51" s="19"/>
    </row>
    <row r="52" spans="3:19" ht="20.149999999999999" hidden="1" customHeight="1" x14ac:dyDescent="0.75">
      <c r="C52" s="292" t="s">
        <v>447</v>
      </c>
      <c r="D52" s="226"/>
      <c r="E52" s="226"/>
      <c r="F52" s="226"/>
      <c r="G52" s="228" t="s">
        <v>449</v>
      </c>
      <c r="H52" s="221"/>
      <c r="I52" s="221"/>
      <c r="J52" s="221"/>
      <c r="K52" s="222">
        <v>0</v>
      </c>
      <c r="L52" s="222"/>
      <c r="M52" s="266"/>
      <c r="N52" s="19"/>
    </row>
    <row r="53" spans="3:19" ht="20.149999999999999" hidden="1" customHeight="1" x14ac:dyDescent="0.75">
      <c r="C53" s="292" t="s">
        <v>450</v>
      </c>
      <c r="D53" s="226"/>
      <c r="E53" s="226"/>
      <c r="F53" s="226"/>
      <c r="G53" s="228" t="s">
        <v>451</v>
      </c>
      <c r="H53" s="221"/>
      <c r="I53" s="221"/>
      <c r="J53" s="221"/>
      <c r="K53" s="222">
        <v>0</v>
      </c>
      <c r="L53" s="222"/>
      <c r="M53" s="266"/>
      <c r="N53" s="19"/>
    </row>
    <row r="54" spans="3:19" ht="20.149999999999999" hidden="1" customHeight="1" x14ac:dyDescent="0.75">
      <c r="C54" s="292" t="s">
        <v>452</v>
      </c>
      <c r="D54" s="226"/>
      <c r="E54" s="226"/>
      <c r="F54" s="226"/>
      <c r="G54" s="228" t="s">
        <v>432</v>
      </c>
      <c r="H54" s="221"/>
      <c r="I54" s="221"/>
      <c r="J54" s="221"/>
      <c r="K54" s="222">
        <v>0</v>
      </c>
      <c r="L54" s="222"/>
      <c r="M54" s="266"/>
      <c r="N54" s="19"/>
    </row>
    <row r="55" spans="3:19" ht="20.149999999999999" hidden="1" customHeight="1" x14ac:dyDescent="0.85">
      <c r="C55" s="292" t="s">
        <v>453</v>
      </c>
      <c r="D55" s="226"/>
      <c r="E55" s="226"/>
      <c r="F55" s="226"/>
      <c r="G55" s="228" t="s">
        <v>454</v>
      </c>
      <c r="H55" s="221"/>
      <c r="I55" s="221"/>
      <c r="J55" s="221"/>
      <c r="K55" s="266">
        <v>0</v>
      </c>
      <c r="L55" s="222"/>
      <c r="M55" s="301">
        <f>SUM(K46:K55)</f>
        <v>5732.85</v>
      </c>
      <c r="N55" s="19"/>
    </row>
    <row r="56" spans="3:19" ht="15" customHeight="1" x14ac:dyDescent="0.45">
      <c r="C56" s="227"/>
      <c r="D56" s="227"/>
      <c r="E56" s="229"/>
      <c r="F56" s="229"/>
      <c r="G56" s="228"/>
      <c r="H56" s="221"/>
      <c r="I56" s="221"/>
      <c r="J56" s="221"/>
      <c r="K56" s="230"/>
      <c r="L56" s="230"/>
      <c r="M56" s="230"/>
      <c r="N56" s="201"/>
    </row>
    <row r="57" spans="3:19" ht="20.149999999999999" customHeight="1" x14ac:dyDescent="0.45">
      <c r="C57" s="220" t="s">
        <v>327</v>
      </c>
      <c r="D57" s="220"/>
      <c r="E57" s="221"/>
      <c r="F57" s="221"/>
      <c r="G57" s="221"/>
      <c r="H57" s="221"/>
      <c r="I57" s="221"/>
      <c r="J57" s="221"/>
      <c r="K57" s="221"/>
      <c r="L57" s="221"/>
      <c r="M57" s="231">
        <f>M33-M51</f>
        <v>-1459.8300000000008</v>
      </c>
      <c r="N57" s="44"/>
    </row>
    <row r="58" spans="3:19" ht="13.5" customHeight="1" x14ac:dyDescent="0.45">
      <c r="C58" s="221"/>
      <c r="D58" s="221"/>
      <c r="E58" s="221"/>
      <c r="F58" s="221"/>
      <c r="G58" s="221"/>
      <c r="H58" s="221"/>
      <c r="I58" s="221"/>
      <c r="J58" s="221"/>
      <c r="K58" s="221"/>
      <c r="L58" s="221"/>
      <c r="M58" s="225"/>
      <c r="N58" s="44"/>
    </row>
    <row r="59" spans="3:19" ht="20.149999999999999" customHeight="1" x14ac:dyDescent="0.85">
      <c r="C59" s="220" t="s">
        <v>527</v>
      </c>
      <c r="D59" s="221"/>
      <c r="E59" s="221"/>
      <c r="F59" s="221"/>
      <c r="G59" s="221"/>
      <c r="H59" s="221"/>
      <c r="I59" s="221"/>
      <c r="J59" s="221"/>
      <c r="K59" s="221"/>
      <c r="L59" s="221"/>
      <c r="M59" s="264">
        <v>0</v>
      </c>
      <c r="N59" s="44"/>
    </row>
    <row r="60" spans="3:19" ht="13.5" customHeight="1" x14ac:dyDescent="0.45">
      <c r="C60" s="221"/>
      <c r="D60" s="221"/>
      <c r="E60" s="221"/>
      <c r="F60" s="221"/>
      <c r="G60" s="221"/>
      <c r="H60" s="221"/>
      <c r="I60" s="221"/>
      <c r="J60" s="221"/>
      <c r="K60" s="221"/>
      <c r="L60" s="221"/>
      <c r="M60" s="225"/>
      <c r="N60" s="44"/>
    </row>
    <row r="61" spans="3:19" ht="24.45" customHeight="1" thickBot="1" x14ac:dyDescent="0.5">
      <c r="C61" s="220" t="s">
        <v>528</v>
      </c>
      <c r="D61" s="221"/>
      <c r="E61" s="221"/>
      <c r="F61" s="221"/>
      <c r="G61" s="221"/>
      <c r="H61" s="221"/>
      <c r="I61" s="221"/>
      <c r="J61" s="221"/>
      <c r="K61" s="221"/>
      <c r="L61" s="245" t="s">
        <v>326</v>
      </c>
      <c r="M61" s="232">
        <f>M57-M59</f>
        <v>-1459.8300000000008</v>
      </c>
      <c r="N61" s="8"/>
      <c r="O61" s="2" t="s">
        <v>245</v>
      </c>
      <c r="P61" s="135"/>
      <c r="Q61" s="135"/>
      <c r="R61" s="135"/>
      <c r="S61" s="135"/>
    </row>
    <row r="62" spans="3:19" ht="13.5" customHeight="1" thickTop="1" x14ac:dyDescent="0.45">
      <c r="C62" s="221"/>
      <c r="D62" s="221"/>
      <c r="E62" s="220"/>
      <c r="F62" s="220"/>
      <c r="G62" s="221"/>
      <c r="H62" s="221"/>
      <c r="I62" s="221"/>
      <c r="J62" s="221"/>
      <c r="K62" s="221"/>
      <c r="L62" s="221"/>
      <c r="M62" s="221"/>
      <c r="N62" s="8"/>
      <c r="O62" s="135"/>
      <c r="P62" s="474"/>
      <c r="Q62" s="474"/>
    </row>
    <row r="63" spans="3:19" ht="13.5" customHeight="1" x14ac:dyDescent="0.45">
      <c r="C63" s="221"/>
      <c r="D63" s="221"/>
      <c r="E63" s="220"/>
      <c r="F63" s="220"/>
      <c r="G63" s="221"/>
      <c r="H63" s="221"/>
      <c r="I63" s="221"/>
      <c r="J63" s="221"/>
      <c r="K63" s="221"/>
      <c r="L63" s="221"/>
      <c r="M63" s="221"/>
      <c r="N63" s="8"/>
      <c r="O63" s="270"/>
    </row>
    <row r="64" spans="3:19" ht="13.5" customHeight="1" thickBot="1" x14ac:dyDescent="0.45">
      <c r="C64" s="8"/>
      <c r="D64" s="8"/>
      <c r="E64" s="13"/>
      <c r="F64" s="13"/>
      <c r="G64" s="8"/>
      <c r="H64" s="8"/>
      <c r="I64" s="8"/>
      <c r="J64" s="8"/>
      <c r="K64" s="8"/>
      <c r="L64" s="8"/>
      <c r="M64" s="8"/>
      <c r="N64" s="8"/>
    </row>
    <row r="65" spans="2:15" ht="13.5" customHeight="1" x14ac:dyDescent="0.45">
      <c r="B65" s="251"/>
      <c r="C65" s="493" t="s">
        <v>499</v>
      </c>
      <c r="D65" s="493"/>
      <c r="E65" s="493"/>
      <c r="F65" s="493"/>
      <c r="G65" s="493"/>
      <c r="H65" s="493"/>
      <c r="I65" s="252"/>
      <c r="J65" s="252"/>
      <c r="K65" s="252"/>
      <c r="L65" s="483" t="s">
        <v>326</v>
      </c>
      <c r="M65" s="479">
        <v>71415.670000000013</v>
      </c>
      <c r="N65" s="253"/>
    </row>
    <row r="66" spans="2:15" ht="11.15" customHeight="1" x14ac:dyDescent="0.4">
      <c r="B66" s="254"/>
      <c r="C66" s="494"/>
      <c r="D66" s="494"/>
      <c r="E66" s="494"/>
      <c r="F66" s="494"/>
      <c r="G66" s="494"/>
      <c r="H66" s="494"/>
      <c r="I66" s="220"/>
      <c r="J66" s="220"/>
      <c r="K66" s="220"/>
      <c r="L66" s="484"/>
      <c r="M66" s="503"/>
      <c r="N66" s="255"/>
    </row>
    <row r="67" spans="2:15" ht="16.2" customHeight="1" x14ac:dyDescent="0.4">
      <c r="B67" s="256"/>
      <c r="C67" s="496" t="s">
        <v>532</v>
      </c>
      <c r="D67" s="496"/>
      <c r="E67" s="496"/>
      <c r="F67" s="496"/>
      <c r="G67" s="496"/>
      <c r="H67" s="496"/>
      <c r="I67" s="233"/>
      <c r="J67" s="233"/>
      <c r="K67" s="307" t="s">
        <v>245</v>
      </c>
      <c r="L67" s="233"/>
      <c r="M67" s="261">
        <v>0</v>
      </c>
      <c r="N67" s="174"/>
    </row>
    <row r="68" spans="2:15" ht="16.2" customHeight="1" thickBot="1" x14ac:dyDescent="0.5">
      <c r="B68" s="254"/>
      <c r="C68" s="497" t="s">
        <v>322</v>
      </c>
      <c r="D68" s="497"/>
      <c r="E68" s="497"/>
      <c r="F68" s="497"/>
      <c r="G68" s="497"/>
      <c r="H68" s="497"/>
      <c r="I68" s="302"/>
      <c r="J68" s="302"/>
      <c r="K68" s="303"/>
      <c r="L68" s="303"/>
      <c r="M68" s="261">
        <f>7.44-1.49</f>
        <v>5.95</v>
      </c>
      <c r="N68" s="255"/>
    </row>
    <row r="69" spans="2:15" ht="16.2" hidden="1" customHeight="1" x14ac:dyDescent="0.45">
      <c r="B69" s="254"/>
      <c r="C69" s="496" t="s">
        <v>460</v>
      </c>
      <c r="D69" s="496"/>
      <c r="E69" s="496"/>
      <c r="F69" s="496"/>
      <c r="G69" s="496"/>
      <c r="H69" s="496"/>
      <c r="I69" s="221"/>
      <c r="J69" s="221"/>
      <c r="K69" s="230"/>
      <c r="L69" s="230"/>
      <c r="M69" s="262">
        <v>0</v>
      </c>
      <c r="N69" s="255"/>
    </row>
    <row r="70" spans="2:15" ht="13.5" customHeight="1" x14ac:dyDescent="0.4">
      <c r="B70" s="251"/>
      <c r="C70" s="498" t="s">
        <v>531</v>
      </c>
      <c r="D70" s="498"/>
      <c r="E70" s="498"/>
      <c r="F70" s="498"/>
      <c r="G70" s="498"/>
      <c r="H70" s="498"/>
      <c r="I70" s="260"/>
      <c r="J70" s="260"/>
      <c r="K70" s="260"/>
      <c r="L70" s="485" t="s">
        <v>326</v>
      </c>
      <c r="M70" s="477">
        <f>SUM(M65:M69)</f>
        <v>71421.62000000001</v>
      </c>
      <c r="N70" s="253"/>
    </row>
    <row r="71" spans="2:15" ht="13.5" customHeight="1" thickBot="1" x14ac:dyDescent="0.45">
      <c r="B71" s="257"/>
      <c r="C71" s="499"/>
      <c r="D71" s="499"/>
      <c r="E71" s="499"/>
      <c r="F71" s="499"/>
      <c r="G71" s="499"/>
      <c r="H71" s="499"/>
      <c r="I71" s="258"/>
      <c r="J71" s="258"/>
      <c r="K71" s="258"/>
      <c r="L71" s="486"/>
      <c r="M71" s="478"/>
      <c r="N71" s="259"/>
      <c r="O71" s="135" t="s">
        <v>245</v>
      </c>
    </row>
    <row r="72" spans="2:15" ht="13.5" customHeight="1" x14ac:dyDescent="0.4">
      <c r="C72" s="8"/>
      <c r="D72" s="8"/>
      <c r="E72" s="13"/>
      <c r="F72" s="13"/>
      <c r="G72" s="13"/>
      <c r="H72" s="13"/>
      <c r="I72" s="13"/>
      <c r="J72" s="13"/>
      <c r="K72" s="13"/>
      <c r="L72" s="13"/>
      <c r="M72" s="15" t="s">
        <v>245</v>
      </c>
      <c r="N72" s="8"/>
    </row>
    <row r="73" spans="2:15" ht="13.5" customHeight="1" x14ac:dyDescent="0.4">
      <c r="C73" s="8"/>
      <c r="D73" s="8"/>
      <c r="E73" s="13"/>
      <c r="F73" s="13"/>
      <c r="G73" s="13"/>
      <c r="H73" s="13"/>
      <c r="I73" s="13"/>
      <c r="J73" s="13"/>
      <c r="K73" s="13"/>
      <c r="L73" s="13"/>
      <c r="M73" s="15"/>
      <c r="N73" s="8"/>
    </row>
    <row r="74" spans="2:15" ht="13.5" customHeight="1" x14ac:dyDescent="0.4">
      <c r="C74" s="8"/>
      <c r="D74" s="8"/>
      <c r="E74" s="13"/>
      <c r="F74" s="13"/>
      <c r="G74" s="13"/>
      <c r="H74" s="13"/>
      <c r="I74" s="13"/>
      <c r="J74" s="13"/>
      <c r="K74" s="13"/>
      <c r="L74" s="13"/>
      <c r="M74" s="15"/>
      <c r="N74" s="8"/>
    </row>
    <row r="75" spans="2:15" ht="13.5" customHeight="1" x14ac:dyDescent="0.4">
      <c r="C75" s="237" t="s">
        <v>13</v>
      </c>
      <c r="D75" s="235"/>
      <c r="E75" s="235"/>
      <c r="F75" s="235"/>
      <c r="G75" s="237" t="s">
        <v>82</v>
      </c>
      <c r="H75" s="235"/>
      <c r="I75" s="237" t="s">
        <v>289</v>
      </c>
      <c r="J75" s="237"/>
      <c r="K75" s="235"/>
      <c r="L75" s="235"/>
      <c r="M75" s="235" t="s">
        <v>261</v>
      </c>
      <c r="N75" s="8"/>
    </row>
    <row r="76" spans="2:15" ht="13.5" customHeight="1" x14ac:dyDescent="0.4"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</row>
    <row r="77" spans="2:15" ht="20.149999999999999" customHeight="1" x14ac:dyDescent="0.4">
      <c r="C77" s="234" t="s">
        <v>290</v>
      </c>
      <c r="D77" s="235"/>
      <c r="E77" s="235"/>
      <c r="F77" s="235"/>
      <c r="G77" s="234" t="s">
        <v>14</v>
      </c>
      <c r="H77" s="235"/>
      <c r="I77" s="234" t="s">
        <v>17</v>
      </c>
      <c r="J77" s="234"/>
      <c r="K77" s="235"/>
      <c r="L77" s="235"/>
      <c r="M77" s="234" t="s">
        <v>8</v>
      </c>
      <c r="N77" s="8"/>
    </row>
    <row r="78" spans="2:15" ht="13.5" customHeight="1" x14ac:dyDescent="0.4">
      <c r="C78" s="19" t="s">
        <v>317</v>
      </c>
      <c r="D78" s="8"/>
      <c r="E78" s="8"/>
      <c r="F78" s="8"/>
      <c r="G78" s="19" t="s">
        <v>15</v>
      </c>
      <c r="H78" s="8"/>
      <c r="I78" s="19" t="s">
        <v>292</v>
      </c>
      <c r="J78" s="19"/>
      <c r="K78" s="8"/>
      <c r="L78" s="8"/>
      <c r="M78" s="19" t="s">
        <v>262</v>
      </c>
      <c r="N78" s="8"/>
    </row>
    <row r="79" spans="2:15" ht="13.5" customHeight="1" x14ac:dyDescent="0.4"/>
    <row r="80" spans="2:15" ht="13.5" customHeight="1" x14ac:dyDescent="0.4"/>
    <row r="81" ht="13.5" customHeight="1" x14ac:dyDescent="0.4"/>
    <row r="82" ht="13.5" customHeight="1" x14ac:dyDescent="0.4"/>
    <row r="83" ht="13.5" customHeight="1" x14ac:dyDescent="0.4"/>
    <row r="84" ht="13.5" customHeight="1" x14ac:dyDescent="0.4"/>
  </sheetData>
  <mergeCells count="20">
    <mergeCell ref="P62:Q62"/>
    <mergeCell ref="C65:H66"/>
    <mergeCell ref="L65:L66"/>
    <mergeCell ref="M65:M66"/>
    <mergeCell ref="C4:N4"/>
    <mergeCell ref="C5:M5"/>
    <mergeCell ref="C6:M6"/>
    <mergeCell ref="C7:M7"/>
    <mergeCell ref="C8:M8"/>
    <mergeCell ref="C14:E14"/>
    <mergeCell ref="M70:M71"/>
    <mergeCell ref="C16:E16"/>
    <mergeCell ref="C27:I27"/>
    <mergeCell ref="E29:H29"/>
    <mergeCell ref="G40:I40"/>
    <mergeCell ref="C67:H67"/>
    <mergeCell ref="C68:H68"/>
    <mergeCell ref="C69:H69"/>
    <mergeCell ref="C70:H71"/>
    <mergeCell ref="L70:L71"/>
  </mergeCells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493638-4AE6-41D6-A890-6DA843AA7EDD}">
  <dimension ref="B2:M62"/>
  <sheetViews>
    <sheetView topLeftCell="A34" workbookViewId="0">
      <selection activeCell="G39" sqref="G39"/>
    </sheetView>
  </sheetViews>
  <sheetFormatPr defaultRowHeight="14.6" x14ac:dyDescent="0.4"/>
  <cols>
    <col min="1" max="1" width="2.3046875" customWidth="1"/>
    <col min="2" max="2" width="13.3046875" customWidth="1"/>
    <col min="3" max="3" width="4.84375" customWidth="1"/>
    <col min="4" max="4" width="12.3046875" customWidth="1"/>
    <col min="5" max="5" width="1.53515625" customWidth="1"/>
    <col min="6" max="6" width="19.84375" customWidth="1"/>
    <col min="7" max="7" width="22.3046875" customWidth="1"/>
    <col min="8" max="8" width="23.3046875" hidden="1" customWidth="1"/>
    <col min="9" max="9" width="13.69140625" customWidth="1"/>
    <col min="10" max="10" width="12.07421875" customWidth="1"/>
    <col min="11" max="12" width="12.3046875" customWidth="1"/>
    <col min="13" max="13" width="11.53515625" customWidth="1"/>
  </cols>
  <sheetData>
    <row r="2" spans="2:12" x14ac:dyDescent="0.4">
      <c r="B2" s="246" t="s">
        <v>329</v>
      </c>
    </row>
    <row r="3" spans="2:12" x14ac:dyDescent="0.4">
      <c r="B3" s="246"/>
    </row>
    <row r="4" spans="2:12" x14ac:dyDescent="0.4">
      <c r="B4" s="246"/>
    </row>
    <row r="5" spans="2:12" x14ac:dyDescent="0.4">
      <c r="B5" s="246"/>
    </row>
    <row r="6" spans="2:12" x14ac:dyDescent="0.4">
      <c r="B6" s="246"/>
    </row>
    <row r="7" spans="2:12" ht="14.15" customHeight="1" x14ac:dyDescent="0.4">
      <c r="B7" s="468" t="s">
        <v>0</v>
      </c>
      <c r="C7" s="468"/>
      <c r="D7" s="468"/>
      <c r="E7" s="468"/>
      <c r="F7" s="468"/>
      <c r="G7" s="468"/>
      <c r="H7" s="468"/>
      <c r="I7" s="468"/>
      <c r="J7" s="468"/>
      <c r="K7" s="468"/>
      <c r="L7" s="468"/>
    </row>
    <row r="8" spans="2:12" ht="14.15" customHeight="1" x14ac:dyDescent="0.4">
      <c r="B8" s="19"/>
      <c r="C8" s="19"/>
      <c r="D8" s="19"/>
      <c r="E8" s="19"/>
      <c r="F8" s="19"/>
      <c r="G8" s="19" t="s">
        <v>18</v>
      </c>
      <c r="H8" s="19"/>
      <c r="I8" s="19"/>
      <c r="J8" s="19"/>
      <c r="K8" s="19"/>
      <c r="L8" s="1"/>
    </row>
    <row r="9" spans="2:12" ht="14.15" customHeight="1" x14ac:dyDescent="0.4">
      <c r="B9" s="8"/>
      <c r="C9" s="8"/>
      <c r="D9" s="8"/>
      <c r="E9" s="8"/>
      <c r="F9" s="473" t="s">
        <v>509</v>
      </c>
      <c r="G9" s="473"/>
      <c r="H9" s="473"/>
      <c r="I9" s="473"/>
      <c r="J9" s="473"/>
      <c r="K9" s="8"/>
    </row>
    <row r="10" spans="2:12" ht="14.15" customHeight="1" thickBot="1" x14ac:dyDescent="0.45">
      <c r="B10" s="8"/>
      <c r="C10" s="8"/>
      <c r="D10" s="8"/>
      <c r="E10" s="8"/>
      <c r="F10" s="8"/>
      <c r="G10" s="8"/>
      <c r="H10" s="8"/>
      <c r="I10" s="8"/>
      <c r="J10" s="8"/>
      <c r="K10" s="8"/>
    </row>
    <row r="11" spans="2:12" ht="21.75" customHeight="1" x14ac:dyDescent="0.4">
      <c r="B11" s="308"/>
      <c r="C11" s="309"/>
      <c r="D11" s="310"/>
      <c r="E11" s="309"/>
      <c r="F11" s="311"/>
      <c r="G11" s="500" t="s">
        <v>304</v>
      </c>
      <c r="H11" s="500" t="s">
        <v>299</v>
      </c>
      <c r="I11" s="500" t="s">
        <v>293</v>
      </c>
      <c r="J11" s="502" t="s">
        <v>301</v>
      </c>
      <c r="K11" s="502"/>
      <c r="L11" s="500" t="s">
        <v>296</v>
      </c>
    </row>
    <row r="12" spans="2:12" ht="30" customHeight="1" thickBot="1" x14ac:dyDescent="0.45">
      <c r="B12" s="312" t="s">
        <v>5</v>
      </c>
      <c r="C12" s="313"/>
      <c r="D12" s="314" t="s">
        <v>309</v>
      </c>
      <c r="E12" s="313"/>
      <c r="F12" s="315" t="s">
        <v>1</v>
      </c>
      <c r="G12" s="501"/>
      <c r="H12" s="501"/>
      <c r="I12" s="501"/>
      <c r="J12" s="316" t="s">
        <v>302</v>
      </c>
      <c r="K12" s="317" t="s">
        <v>303</v>
      </c>
      <c r="L12" s="501"/>
    </row>
    <row r="13" spans="2:12" ht="16.2" customHeight="1" x14ac:dyDescent="0.4">
      <c r="B13" s="137" t="s">
        <v>69</v>
      </c>
      <c r="C13" s="19"/>
      <c r="D13" s="155"/>
      <c r="E13" s="19"/>
      <c r="F13" s="170"/>
      <c r="G13" s="110"/>
      <c r="H13" s="110"/>
      <c r="I13" s="157"/>
      <c r="J13" s="178"/>
      <c r="K13" s="183"/>
      <c r="L13" s="186"/>
    </row>
    <row r="14" spans="2:12" ht="16.2" customHeight="1" x14ac:dyDescent="0.4">
      <c r="B14" s="138" t="s">
        <v>154</v>
      </c>
      <c r="C14" s="139" t="s">
        <v>245</v>
      </c>
      <c r="D14" s="140">
        <v>2753</v>
      </c>
      <c r="E14" s="141"/>
      <c r="F14" s="171" t="s">
        <v>33</v>
      </c>
      <c r="G14" s="158">
        <v>100</v>
      </c>
      <c r="H14" s="158"/>
      <c r="I14" s="140"/>
      <c r="J14" s="114"/>
      <c r="K14" s="184" t="s">
        <v>245</v>
      </c>
      <c r="L14" s="163"/>
    </row>
    <row r="15" spans="2:12" ht="16.2" customHeight="1" x14ac:dyDescent="0.4">
      <c r="B15" s="138" t="s">
        <v>154</v>
      </c>
      <c r="C15" s="139"/>
      <c r="D15" s="140">
        <f>1+D14</f>
        <v>2754</v>
      </c>
      <c r="E15" s="141"/>
      <c r="F15" s="171" t="s">
        <v>41</v>
      </c>
      <c r="G15" s="158">
        <v>100</v>
      </c>
      <c r="H15" s="158"/>
      <c r="I15" s="140"/>
      <c r="J15" s="114"/>
      <c r="K15" s="184"/>
      <c r="L15" s="163"/>
    </row>
    <row r="16" spans="2:12" ht="16.2" customHeight="1" x14ac:dyDescent="0.4">
      <c r="B16" s="138" t="s">
        <v>154</v>
      </c>
      <c r="C16" s="139"/>
      <c r="D16" s="140">
        <f>1+D15</f>
        <v>2755</v>
      </c>
      <c r="E16" s="141"/>
      <c r="F16" s="171" t="s">
        <v>403</v>
      </c>
      <c r="G16" s="158">
        <v>100</v>
      </c>
      <c r="H16" s="158"/>
      <c r="I16" s="140"/>
      <c r="J16" s="114"/>
      <c r="K16" s="184"/>
      <c r="L16" s="163"/>
    </row>
    <row r="17" spans="2:13" ht="18" customHeight="1" x14ac:dyDescent="0.4">
      <c r="B17" s="154" t="s">
        <v>307</v>
      </c>
      <c r="D17" s="111"/>
      <c r="F17" s="109"/>
      <c r="G17" s="161">
        <f>SUM(G14:G16)</f>
        <v>300</v>
      </c>
      <c r="H17" s="161"/>
      <c r="I17" s="162">
        <f>G17-J17</f>
        <v>0</v>
      </c>
      <c r="J17" s="114">
        <v>300</v>
      </c>
      <c r="K17" s="185">
        <v>700</v>
      </c>
      <c r="L17" s="198">
        <f>J17+K17</f>
        <v>1000</v>
      </c>
    </row>
    <row r="18" spans="2:13" ht="16.2" customHeight="1" x14ac:dyDescent="0.4">
      <c r="B18" s="138" t="s">
        <v>16</v>
      </c>
      <c r="C18" s="141"/>
      <c r="D18" s="140">
        <v>2756</v>
      </c>
      <c r="E18" s="141"/>
      <c r="F18" s="172" t="s">
        <v>44</v>
      </c>
      <c r="G18" s="158">
        <v>150</v>
      </c>
      <c r="H18" s="159"/>
      <c r="I18" s="140"/>
      <c r="J18" s="114"/>
      <c r="K18" s="185"/>
      <c r="L18" s="166" t="s">
        <v>245</v>
      </c>
    </row>
    <row r="19" spans="2:13" ht="16.2" customHeight="1" x14ac:dyDescent="0.4">
      <c r="B19" s="138" t="s">
        <v>16</v>
      </c>
      <c r="C19" s="141"/>
      <c r="D19" s="140">
        <f>1+D18</f>
        <v>2757</v>
      </c>
      <c r="E19" s="141"/>
      <c r="F19" s="172" t="s">
        <v>41</v>
      </c>
      <c r="G19" s="275">
        <v>100</v>
      </c>
      <c r="H19" s="159"/>
      <c r="I19" s="140"/>
      <c r="J19" s="114"/>
      <c r="K19" s="185"/>
      <c r="L19" s="166"/>
    </row>
    <row r="20" spans="2:13" ht="16.2" customHeight="1" x14ac:dyDescent="0.4">
      <c r="B20" s="138" t="s">
        <v>16</v>
      </c>
      <c r="C20" s="141"/>
      <c r="D20" s="140">
        <f>1+D19</f>
        <v>2758</v>
      </c>
      <c r="E20" s="141"/>
      <c r="F20" s="172" t="s">
        <v>345</v>
      </c>
      <c r="G20" s="158">
        <v>100</v>
      </c>
      <c r="H20" s="159"/>
      <c r="I20" s="140"/>
      <c r="J20" s="114"/>
      <c r="K20" s="185"/>
      <c r="L20" s="166"/>
    </row>
    <row r="21" spans="2:13" ht="16.2" customHeight="1" x14ac:dyDescent="0.4">
      <c r="B21" s="138" t="s">
        <v>16</v>
      </c>
      <c r="C21" s="141"/>
      <c r="D21" s="140">
        <f>1+D20</f>
        <v>2759</v>
      </c>
      <c r="E21" s="141"/>
      <c r="F21" s="172" t="s">
        <v>403</v>
      </c>
      <c r="G21" s="158">
        <v>100</v>
      </c>
      <c r="H21" s="159"/>
      <c r="I21" s="140"/>
      <c r="J21" s="114"/>
      <c r="K21" s="185"/>
      <c r="L21" s="166"/>
    </row>
    <row r="22" spans="2:13" ht="16.2" customHeight="1" x14ac:dyDescent="0.4">
      <c r="B22" s="138" t="s">
        <v>16</v>
      </c>
      <c r="C22" s="141"/>
      <c r="D22" s="140">
        <f>1+D21</f>
        <v>2760</v>
      </c>
      <c r="E22" s="141"/>
      <c r="F22" s="172" t="s">
        <v>510</v>
      </c>
      <c r="G22" s="158">
        <v>100</v>
      </c>
      <c r="H22" s="159"/>
      <c r="I22" s="140"/>
      <c r="J22" s="114"/>
      <c r="K22" s="185"/>
      <c r="L22" s="166"/>
    </row>
    <row r="23" spans="2:13" ht="16.2" customHeight="1" x14ac:dyDescent="0.4">
      <c r="B23" s="138" t="s">
        <v>16</v>
      </c>
      <c r="C23" s="141"/>
      <c r="D23" s="140">
        <f>1+D22</f>
        <v>2761</v>
      </c>
      <c r="E23" s="141"/>
      <c r="F23" s="172" t="s">
        <v>158</v>
      </c>
      <c r="G23" s="324">
        <v>100</v>
      </c>
      <c r="H23" s="159"/>
      <c r="I23" s="140"/>
      <c r="J23" s="114"/>
      <c r="K23" s="185"/>
      <c r="L23" s="166"/>
    </row>
    <row r="24" spans="2:13" ht="16.2" customHeight="1" x14ac:dyDescent="0.4">
      <c r="B24" s="154" t="s">
        <v>307</v>
      </c>
      <c r="C24" s="141"/>
      <c r="D24" s="140"/>
      <c r="E24" s="141"/>
      <c r="F24" s="172"/>
      <c r="G24" s="289">
        <f>SUM(G18:G23)</f>
        <v>650</v>
      </c>
      <c r="H24" s="159"/>
      <c r="I24" s="162">
        <f>G24-J24</f>
        <v>100</v>
      </c>
      <c r="J24" s="114">
        <v>550</v>
      </c>
      <c r="K24" s="185">
        <v>450</v>
      </c>
      <c r="L24" s="198">
        <f>J24+K24</f>
        <v>1000</v>
      </c>
    </row>
    <row r="25" spans="2:13" ht="16.2" customHeight="1" x14ac:dyDescent="0.4">
      <c r="B25" s="138">
        <v>15</v>
      </c>
      <c r="C25" s="141"/>
      <c r="D25" s="140">
        <v>2762</v>
      </c>
      <c r="E25" s="141"/>
      <c r="F25" s="172" t="s">
        <v>118</v>
      </c>
      <c r="G25" s="324">
        <v>0</v>
      </c>
      <c r="H25" s="159"/>
      <c r="I25" s="140"/>
      <c r="J25" s="114"/>
      <c r="K25" s="185"/>
      <c r="L25" s="166"/>
    </row>
    <row r="26" spans="2:13" ht="16.2" customHeight="1" x14ac:dyDescent="0.4">
      <c r="B26" s="138">
        <v>15</v>
      </c>
      <c r="C26" s="141"/>
      <c r="D26" s="140">
        <f>1+D25</f>
        <v>2763</v>
      </c>
      <c r="E26" s="141"/>
      <c r="F26" s="172" t="s">
        <v>44</v>
      </c>
      <c r="G26" s="275">
        <v>100</v>
      </c>
      <c r="H26" s="159"/>
      <c r="I26" s="140"/>
      <c r="J26" s="114"/>
      <c r="K26" s="185"/>
      <c r="L26" s="166"/>
    </row>
    <row r="27" spans="2:13" ht="16.2" customHeight="1" x14ac:dyDescent="0.4">
      <c r="B27" s="138">
        <v>15</v>
      </c>
      <c r="C27" s="141"/>
      <c r="D27" s="140">
        <f>1+D26</f>
        <v>2764</v>
      </c>
      <c r="E27" s="141"/>
      <c r="F27" s="172" t="s">
        <v>33</v>
      </c>
      <c r="G27" s="158">
        <v>100</v>
      </c>
      <c r="H27" s="159"/>
      <c r="I27" s="140"/>
      <c r="J27" s="114"/>
      <c r="K27" s="185"/>
      <c r="L27" s="166"/>
    </row>
    <row r="28" spans="2:13" ht="16.2" customHeight="1" x14ac:dyDescent="0.4">
      <c r="B28" s="138">
        <v>15</v>
      </c>
      <c r="C28" s="141"/>
      <c r="D28" s="140">
        <f>1+D27</f>
        <v>2765</v>
      </c>
      <c r="E28" s="141"/>
      <c r="F28" s="172" t="s">
        <v>403</v>
      </c>
      <c r="G28" s="158">
        <v>100</v>
      </c>
      <c r="H28" s="159"/>
      <c r="I28" s="140"/>
      <c r="J28" s="114"/>
      <c r="K28" s="185"/>
      <c r="L28" s="166"/>
    </row>
    <row r="29" spans="2:13" ht="18" customHeight="1" x14ac:dyDescent="0.45">
      <c r="B29" s="154" t="s">
        <v>307</v>
      </c>
      <c r="D29" s="111"/>
      <c r="F29" s="298"/>
      <c r="G29" s="306">
        <f>SUM(G25:G28)</f>
        <v>300</v>
      </c>
      <c r="H29" s="306"/>
      <c r="I29" s="162">
        <f>G29-J29</f>
        <v>-100</v>
      </c>
      <c r="J29" s="142">
        <v>400</v>
      </c>
      <c r="K29" s="185">
        <v>600</v>
      </c>
      <c r="L29" s="198">
        <f>J29+K29</f>
        <v>1000</v>
      </c>
      <c r="M29" s="135"/>
    </row>
    <row r="30" spans="2:13" ht="16.2" customHeight="1" x14ac:dyDescent="0.4">
      <c r="B30" s="138">
        <v>22</v>
      </c>
      <c r="C30" s="141"/>
      <c r="D30" s="140">
        <v>2766</v>
      </c>
      <c r="E30" s="141"/>
      <c r="F30" s="172" t="s">
        <v>511</v>
      </c>
      <c r="G30" s="158">
        <v>100</v>
      </c>
      <c r="H30" s="159"/>
      <c r="I30" s="140"/>
      <c r="J30" s="179"/>
      <c r="K30" s="185"/>
      <c r="L30" s="199"/>
    </row>
    <row r="31" spans="2:13" ht="16.2" customHeight="1" x14ac:dyDescent="0.4">
      <c r="B31" s="138">
        <v>22</v>
      </c>
      <c r="C31" s="141"/>
      <c r="D31" s="140">
        <f>1+D30</f>
        <v>2767</v>
      </c>
      <c r="E31" s="141"/>
      <c r="F31" s="172" t="s">
        <v>512</v>
      </c>
      <c r="G31" s="275">
        <v>100</v>
      </c>
      <c r="H31" s="159"/>
      <c r="I31" s="140"/>
      <c r="J31" s="179"/>
      <c r="K31" s="185"/>
      <c r="L31" s="199"/>
    </row>
    <row r="32" spans="2:13" ht="16.2" customHeight="1" x14ac:dyDescent="0.4">
      <c r="B32" s="138">
        <v>22</v>
      </c>
      <c r="C32" s="141"/>
      <c r="D32" s="140">
        <f t="shared" ref="D32:D39" si="0">1+D31</f>
        <v>2768</v>
      </c>
      <c r="E32" s="141"/>
      <c r="F32" s="172" t="s">
        <v>74</v>
      </c>
      <c r="G32" s="275">
        <v>200</v>
      </c>
      <c r="H32" s="159"/>
      <c r="I32" s="140"/>
      <c r="J32" s="179"/>
      <c r="K32" s="185"/>
      <c r="L32" s="199"/>
    </row>
    <row r="33" spans="2:12" ht="16.2" customHeight="1" x14ac:dyDescent="0.4">
      <c r="B33" s="138">
        <v>22</v>
      </c>
      <c r="C33" s="141"/>
      <c r="D33" s="140">
        <f t="shared" si="0"/>
        <v>2769</v>
      </c>
      <c r="E33" s="141"/>
      <c r="F33" s="172" t="s">
        <v>513</v>
      </c>
      <c r="G33" s="275">
        <v>50</v>
      </c>
      <c r="H33" s="159"/>
      <c r="I33" s="140"/>
      <c r="J33" s="142"/>
      <c r="K33" s="185"/>
      <c r="L33" s="199"/>
    </row>
    <row r="34" spans="2:12" ht="16.2" customHeight="1" x14ac:dyDescent="0.4">
      <c r="B34" s="138">
        <v>22</v>
      </c>
      <c r="C34" s="141"/>
      <c r="D34" s="140">
        <f>1+D33</f>
        <v>2770</v>
      </c>
      <c r="E34" s="141"/>
      <c r="F34" s="172" t="s">
        <v>44</v>
      </c>
      <c r="G34" s="275">
        <v>100</v>
      </c>
      <c r="H34" s="159"/>
      <c r="I34" s="140"/>
      <c r="J34" s="142"/>
      <c r="K34" s="185"/>
      <c r="L34" s="199"/>
    </row>
    <row r="35" spans="2:12" ht="16.2" customHeight="1" x14ac:dyDescent="0.4">
      <c r="B35" s="138">
        <v>22</v>
      </c>
      <c r="C35" s="141"/>
      <c r="D35" s="140">
        <f t="shared" si="0"/>
        <v>2771</v>
      </c>
      <c r="E35" s="141"/>
      <c r="F35" s="172" t="s">
        <v>514</v>
      </c>
      <c r="G35" s="275">
        <v>100</v>
      </c>
      <c r="H35" s="159"/>
      <c r="I35" s="140"/>
      <c r="J35" s="142"/>
      <c r="K35" s="185"/>
      <c r="L35" s="199"/>
    </row>
    <row r="36" spans="2:12" ht="16.2" customHeight="1" x14ac:dyDescent="0.4">
      <c r="B36" s="138">
        <v>22</v>
      </c>
      <c r="C36" s="141"/>
      <c r="D36" s="140">
        <f t="shared" si="0"/>
        <v>2772</v>
      </c>
      <c r="E36" s="141"/>
      <c r="F36" s="172" t="s">
        <v>20</v>
      </c>
      <c r="G36" s="275">
        <v>100</v>
      </c>
      <c r="H36" s="159"/>
      <c r="I36" s="140"/>
      <c r="J36" s="142"/>
      <c r="K36" s="185"/>
      <c r="L36" s="199"/>
    </row>
    <row r="37" spans="2:12" ht="16.2" customHeight="1" x14ac:dyDescent="0.4">
      <c r="B37" s="138">
        <v>22</v>
      </c>
      <c r="C37" s="141"/>
      <c r="D37" s="140">
        <f t="shared" si="0"/>
        <v>2773</v>
      </c>
      <c r="E37" s="141"/>
      <c r="F37" s="172" t="s">
        <v>41</v>
      </c>
      <c r="G37" s="275">
        <v>100</v>
      </c>
      <c r="H37" s="159"/>
      <c r="I37" s="140"/>
      <c r="J37" s="142"/>
      <c r="K37" s="185"/>
      <c r="L37" s="199"/>
    </row>
    <row r="38" spans="2:12" ht="16.2" customHeight="1" x14ac:dyDescent="0.4">
      <c r="B38" s="138">
        <v>22</v>
      </c>
      <c r="C38" s="141"/>
      <c r="D38" s="140">
        <f t="shared" si="0"/>
        <v>2774</v>
      </c>
      <c r="E38" s="141"/>
      <c r="F38" s="172" t="s">
        <v>515</v>
      </c>
      <c r="G38" s="275">
        <v>100</v>
      </c>
      <c r="H38" s="159"/>
      <c r="I38" s="140"/>
      <c r="J38" s="142"/>
      <c r="K38" s="185"/>
      <c r="L38" s="199"/>
    </row>
    <row r="39" spans="2:12" ht="16.2" customHeight="1" x14ac:dyDescent="0.4">
      <c r="B39" s="138">
        <v>22</v>
      </c>
      <c r="C39" s="141"/>
      <c r="D39" s="140">
        <f t="shared" si="0"/>
        <v>2775</v>
      </c>
      <c r="E39" s="141"/>
      <c r="F39" s="172" t="s">
        <v>516</v>
      </c>
      <c r="G39" s="275">
        <f>500+500</f>
        <v>1000</v>
      </c>
      <c r="H39" s="159"/>
      <c r="I39" s="140"/>
      <c r="J39" s="142"/>
      <c r="K39" s="185"/>
      <c r="L39" s="199"/>
    </row>
    <row r="40" spans="2:12" ht="18" customHeight="1" thickBot="1" x14ac:dyDescent="0.45">
      <c r="B40" s="154" t="s">
        <v>307</v>
      </c>
      <c r="D40" s="111"/>
      <c r="F40" s="109"/>
      <c r="G40" s="167">
        <f>SUM(G30:G39)</f>
        <v>1950</v>
      </c>
      <c r="H40" s="167"/>
      <c r="I40" s="162">
        <f>G40-J40</f>
        <v>950</v>
      </c>
      <c r="J40" s="180">
        <v>1000</v>
      </c>
      <c r="K40" s="181">
        <v>0</v>
      </c>
      <c r="L40" s="198">
        <f>J40+K40</f>
        <v>1000</v>
      </c>
    </row>
    <row r="41" spans="2:12" ht="22.2" customHeight="1" thickBot="1" x14ac:dyDescent="0.45">
      <c r="B41" s="318" t="s">
        <v>297</v>
      </c>
      <c r="C41" s="319"/>
      <c r="D41" s="320"/>
      <c r="E41" s="321"/>
      <c r="F41" s="319"/>
      <c r="G41" s="322">
        <f>G17+G24+G29+G40</f>
        <v>3200</v>
      </c>
      <c r="H41" s="322"/>
      <c r="I41" s="322">
        <f>I17+I29+I24+I40</f>
        <v>950</v>
      </c>
      <c r="J41" s="322">
        <f>J17+J24+J29+J40</f>
        <v>2250</v>
      </c>
      <c r="K41" s="322">
        <f>K17+K24+K29+K40</f>
        <v>1750</v>
      </c>
      <c r="L41" s="322">
        <f>L17+L24+L29+L40</f>
        <v>4000</v>
      </c>
    </row>
    <row r="42" spans="2:12" ht="16.2" customHeight="1" x14ac:dyDescent="0.4">
      <c r="B42" s="9"/>
      <c r="C42" s="8"/>
      <c r="D42" s="19"/>
      <c r="E42" s="19"/>
      <c r="F42" s="8"/>
      <c r="G42" s="10"/>
      <c r="H42" s="10"/>
      <c r="I42" s="14" t="s">
        <v>245</v>
      </c>
      <c r="J42" s="14" t="s">
        <v>245</v>
      </c>
      <c r="K42" s="12"/>
      <c r="L42" s="15" t="s">
        <v>245</v>
      </c>
    </row>
    <row r="43" spans="2:12" ht="16.2" customHeight="1" x14ac:dyDescent="0.4">
      <c r="B43" s="9"/>
      <c r="C43" s="8"/>
      <c r="D43" s="19"/>
      <c r="E43" s="19"/>
      <c r="F43" s="8"/>
      <c r="G43" s="10"/>
      <c r="H43" s="10"/>
      <c r="I43" s="14" t="s">
        <v>245</v>
      </c>
      <c r="J43" s="14"/>
      <c r="K43" s="12"/>
      <c r="L43" s="15"/>
    </row>
    <row r="44" spans="2:12" ht="14.15" customHeight="1" x14ac:dyDescent="0.4">
      <c r="B44" s="9"/>
      <c r="C44" s="8"/>
      <c r="D44" s="19"/>
      <c r="E44" s="19"/>
      <c r="F44" s="8"/>
      <c r="G44" s="10"/>
      <c r="H44" s="10"/>
      <c r="I44" s="14"/>
      <c r="J44" s="14"/>
      <c r="K44" s="12"/>
      <c r="L44" s="15"/>
    </row>
    <row r="45" spans="2:12" ht="14.15" customHeight="1" x14ac:dyDescent="0.4">
      <c r="B45" s="8"/>
      <c r="C45" s="8"/>
      <c r="D45" s="8" t="s">
        <v>245</v>
      </c>
      <c r="E45" s="8"/>
      <c r="F45" s="8"/>
      <c r="G45" s="8"/>
      <c r="H45" s="8"/>
      <c r="I45" s="8"/>
      <c r="J45" s="8"/>
      <c r="K45" s="8"/>
    </row>
    <row r="46" spans="2:12" ht="14.15" customHeight="1" x14ac:dyDescent="0.4">
      <c r="B46" s="8"/>
      <c r="C46" s="8"/>
      <c r="D46" s="19" t="s">
        <v>245</v>
      </c>
      <c r="E46" s="8"/>
      <c r="F46" s="19" t="s">
        <v>245</v>
      </c>
      <c r="G46" s="8"/>
      <c r="H46" s="8"/>
      <c r="I46" s="8"/>
      <c r="J46" s="8"/>
      <c r="K46" s="8"/>
    </row>
    <row r="47" spans="2:12" ht="14.15" customHeight="1" x14ac:dyDescent="0.4">
      <c r="B47" s="8"/>
      <c r="C47" s="8"/>
      <c r="D47" s="8"/>
      <c r="E47" s="8"/>
      <c r="F47" s="19"/>
      <c r="G47" s="8"/>
      <c r="H47" s="8"/>
      <c r="I47" s="8"/>
      <c r="J47" s="8"/>
      <c r="K47" s="8"/>
    </row>
    <row r="48" spans="2:12" ht="14.15" customHeight="1" x14ac:dyDescent="0.4">
      <c r="B48" s="8"/>
      <c r="C48" s="8"/>
      <c r="D48" s="8"/>
      <c r="E48" s="8"/>
      <c r="F48" s="19"/>
      <c r="G48" s="8"/>
      <c r="H48" s="8"/>
      <c r="I48" s="8"/>
      <c r="J48" s="8"/>
      <c r="K48" s="8"/>
    </row>
    <row r="49" spans="2:11" ht="14.15" customHeight="1" x14ac:dyDescent="0.4">
      <c r="B49" s="8"/>
      <c r="C49" s="8"/>
      <c r="D49" s="8"/>
      <c r="E49" s="8"/>
      <c r="F49" s="19"/>
      <c r="G49" s="8"/>
      <c r="H49" s="8"/>
      <c r="I49" s="8"/>
      <c r="J49" s="8"/>
      <c r="K49" s="8"/>
    </row>
    <row r="50" spans="2:11" ht="14.15" customHeight="1" x14ac:dyDescent="0.4">
      <c r="B50" s="267" t="s">
        <v>517</v>
      </c>
      <c r="C50" s="267"/>
      <c r="D50" s="267"/>
      <c r="E50" s="267"/>
      <c r="F50" s="19"/>
      <c r="G50" s="8"/>
      <c r="H50" s="8"/>
      <c r="I50" s="8"/>
      <c r="J50" s="8"/>
      <c r="K50" s="8"/>
    </row>
    <row r="51" spans="2:11" ht="14.15" customHeight="1" thickBot="1" x14ac:dyDescent="0.45">
      <c r="B51" s="19" t="s">
        <v>245</v>
      </c>
      <c r="C51" s="8"/>
      <c r="D51" s="8"/>
      <c r="E51" s="8"/>
      <c r="F51" s="19"/>
      <c r="G51" s="19"/>
      <c r="H51" s="19"/>
      <c r="I51" s="19"/>
      <c r="J51" s="19"/>
      <c r="K51" s="19"/>
    </row>
    <row r="52" spans="2:11" ht="18" customHeight="1" thickBot="1" x14ac:dyDescent="0.45">
      <c r="B52" s="469" t="s">
        <v>311</v>
      </c>
      <c r="C52" s="470"/>
      <c r="D52" s="470"/>
      <c r="E52" s="471"/>
      <c r="F52" s="209" t="s">
        <v>123</v>
      </c>
      <c r="G52" s="19"/>
      <c r="H52" s="19"/>
      <c r="I52" s="19"/>
      <c r="J52" s="19"/>
      <c r="K52" s="19"/>
    </row>
    <row r="53" spans="2:11" ht="15" customHeight="1" thickBot="1" x14ac:dyDescent="0.45">
      <c r="B53" s="329" t="s">
        <v>69</v>
      </c>
      <c r="C53" s="330" t="s">
        <v>154</v>
      </c>
      <c r="D53" s="325" t="s">
        <v>245</v>
      </c>
      <c r="E53" s="325"/>
      <c r="F53" s="327">
        <v>1000</v>
      </c>
      <c r="G53" s="41"/>
      <c r="H53" s="41"/>
      <c r="I53" s="8"/>
      <c r="J53" s="201"/>
      <c r="K53" s="8"/>
    </row>
    <row r="54" spans="2:11" ht="15" customHeight="1" thickBot="1" x14ac:dyDescent="0.45">
      <c r="B54" s="329" t="s">
        <v>69</v>
      </c>
      <c r="C54" s="331" t="s">
        <v>16</v>
      </c>
      <c r="D54" s="326" t="s">
        <v>245</v>
      </c>
      <c r="E54" s="326"/>
      <c r="F54" s="328">
        <v>1000</v>
      </c>
      <c r="G54" s="10"/>
      <c r="H54" s="10"/>
      <c r="I54" s="10"/>
      <c r="J54" s="202"/>
      <c r="K54" s="10"/>
    </row>
    <row r="55" spans="2:11" ht="15" customHeight="1" thickBot="1" x14ac:dyDescent="0.45">
      <c r="B55" s="329" t="s">
        <v>69</v>
      </c>
      <c r="C55" s="331">
        <v>15</v>
      </c>
      <c r="D55" s="326" t="s">
        <v>245</v>
      </c>
      <c r="E55" s="326"/>
      <c r="F55" s="328">
        <v>1000</v>
      </c>
      <c r="G55" s="10"/>
      <c r="H55" s="10"/>
      <c r="I55" s="10"/>
      <c r="J55" s="201"/>
      <c r="K55" s="8"/>
    </row>
    <row r="56" spans="2:11" ht="15" customHeight="1" thickBot="1" x14ac:dyDescent="0.45">
      <c r="B56" s="329" t="s">
        <v>69</v>
      </c>
      <c r="C56" s="331">
        <v>22</v>
      </c>
      <c r="D56" s="326" t="s">
        <v>245</v>
      </c>
      <c r="E56" s="326"/>
      <c r="F56" s="328">
        <v>1000</v>
      </c>
      <c r="G56" s="10"/>
      <c r="H56" s="10"/>
      <c r="I56" s="10"/>
      <c r="J56" s="201"/>
      <c r="K56" s="10"/>
    </row>
    <row r="57" spans="2:11" ht="8.15" customHeight="1" x14ac:dyDescent="0.4">
      <c r="B57" s="210"/>
      <c r="C57" s="211"/>
      <c r="D57" s="212" t="s">
        <v>245</v>
      </c>
      <c r="E57" s="212"/>
      <c r="F57" s="213"/>
      <c r="G57" s="10"/>
      <c r="H57" s="10"/>
      <c r="I57" s="21"/>
      <c r="J57" s="201"/>
      <c r="K57" s="10"/>
    </row>
    <row r="58" spans="2:11" ht="14.15" customHeight="1" thickBot="1" x14ac:dyDescent="0.45">
      <c r="B58" s="466" t="s">
        <v>296</v>
      </c>
      <c r="C58" s="467"/>
      <c r="D58" s="467"/>
      <c r="E58" s="214"/>
      <c r="F58" s="215">
        <f>SUM(F53:F56)</f>
        <v>4000</v>
      </c>
      <c r="G58" s="10"/>
      <c r="H58" s="10"/>
      <c r="I58" s="21"/>
      <c r="J58" s="203"/>
      <c r="K58" s="10"/>
    </row>
    <row r="59" spans="2:11" ht="15.45" x14ac:dyDescent="0.4">
      <c r="B59" s="26"/>
      <c r="C59" s="8"/>
      <c r="D59" s="8"/>
      <c r="E59" s="8"/>
      <c r="F59" s="8"/>
      <c r="G59" s="10"/>
      <c r="H59" s="10"/>
      <c r="I59" s="27"/>
      <c r="J59" s="27"/>
      <c r="K59" s="10"/>
    </row>
    <row r="60" spans="2:11" ht="15.45" x14ac:dyDescent="0.4">
      <c r="B60" s="25"/>
      <c r="C60" s="8"/>
      <c r="D60" s="8"/>
      <c r="E60" s="8"/>
      <c r="F60" s="8"/>
      <c r="G60" s="41"/>
      <c r="H60" s="41"/>
      <c r="I60" s="21"/>
      <c r="J60" s="27"/>
      <c r="K60" s="10"/>
    </row>
    <row r="61" spans="2:11" ht="15.45" x14ac:dyDescent="0.4">
      <c r="B61" s="26"/>
      <c r="C61" s="8"/>
      <c r="D61" s="6"/>
      <c r="E61" s="6"/>
      <c r="F61" s="8"/>
      <c r="G61" s="10"/>
      <c r="H61" s="10"/>
      <c r="I61" s="10"/>
      <c r="J61" s="8"/>
      <c r="K61" s="10"/>
    </row>
    <row r="62" spans="2:11" ht="15.45" x14ac:dyDescent="0.4">
      <c r="F62" s="8"/>
      <c r="I62" s="27"/>
    </row>
  </sheetData>
  <mergeCells count="9">
    <mergeCell ref="B52:E52"/>
    <mergeCell ref="B58:D58"/>
    <mergeCell ref="B7:L7"/>
    <mergeCell ref="F9:J9"/>
    <mergeCell ref="G11:G12"/>
    <mergeCell ref="H11:H12"/>
    <mergeCell ref="I11:I12"/>
    <mergeCell ref="J11:K11"/>
    <mergeCell ref="L11:L12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1343BC-1E3A-4603-9607-5D2B40EA8017}">
  <dimension ref="B1:T88"/>
  <sheetViews>
    <sheetView topLeftCell="A31" workbookViewId="0">
      <selection activeCell="G53" sqref="G53:G54"/>
    </sheetView>
  </sheetViews>
  <sheetFormatPr defaultRowHeight="14.6" x14ac:dyDescent="0.4"/>
  <cols>
    <col min="1" max="1" width="3.3046875" customWidth="1"/>
    <col min="2" max="2" width="1.3046875" customWidth="1"/>
    <col min="3" max="3" width="16.69140625" customWidth="1"/>
    <col min="4" max="4" width="0.53515625" customWidth="1"/>
    <col min="5" max="5" width="12.3046875" customWidth="1"/>
    <col min="6" max="6" width="1.4609375" customWidth="1"/>
    <col min="7" max="7" width="12" customWidth="1"/>
    <col min="8" max="8" width="19.07421875" customWidth="1"/>
    <col min="9" max="9" width="16.53515625" customWidth="1"/>
    <col min="10" max="10" width="19.4609375" customWidth="1"/>
    <col min="11" max="11" width="16.07421875" customWidth="1"/>
    <col min="12" max="12" width="3" customWidth="1"/>
    <col min="13" max="13" width="18.3046875" customWidth="1"/>
    <col min="14" max="14" width="1" customWidth="1"/>
    <col min="15" max="15" width="9.69140625" customWidth="1"/>
    <col min="16" max="16" width="12.84375" customWidth="1"/>
    <col min="17" max="17" width="10.3046875" customWidth="1"/>
    <col min="18" max="18" width="14.53515625" customWidth="1"/>
  </cols>
  <sheetData>
    <row r="1" spans="3:16" ht="6" customHeight="1" x14ac:dyDescent="0.4"/>
    <row r="2" spans="3:16" ht="6" customHeight="1" x14ac:dyDescent="0.4"/>
    <row r="3" spans="3:16" ht="6" customHeight="1" x14ac:dyDescent="0.4"/>
    <row r="4" spans="3:16" ht="20.149999999999999" customHeight="1" x14ac:dyDescent="0.4">
      <c r="C4" s="476" t="s">
        <v>0</v>
      </c>
      <c r="D4" s="476"/>
      <c r="E4" s="476"/>
      <c r="F4" s="476"/>
      <c r="G4" s="476"/>
      <c r="H4" s="476"/>
      <c r="I4" s="476"/>
      <c r="J4" s="476"/>
      <c r="K4" s="476"/>
      <c r="L4" s="476"/>
      <c r="M4" s="476"/>
      <c r="N4" s="476"/>
      <c r="O4" s="238"/>
    </row>
    <row r="5" spans="3:16" ht="20.149999999999999" customHeight="1" x14ac:dyDescent="0.45">
      <c r="C5" s="492" t="s">
        <v>333</v>
      </c>
      <c r="D5" s="492"/>
      <c r="E5" s="492"/>
      <c r="F5" s="492"/>
      <c r="G5" s="492"/>
      <c r="H5" s="492"/>
      <c r="I5" s="492"/>
      <c r="J5" s="492"/>
      <c r="K5" s="492"/>
      <c r="L5" s="492"/>
      <c r="M5" s="492"/>
      <c r="N5" s="243"/>
      <c r="O5" s="243"/>
    </row>
    <row r="6" spans="3:16" ht="20.149999999999999" customHeight="1" x14ac:dyDescent="0.45">
      <c r="C6" s="492" t="s">
        <v>245</v>
      </c>
      <c r="D6" s="492"/>
      <c r="E6" s="492"/>
      <c r="F6" s="492"/>
      <c r="G6" s="492"/>
      <c r="H6" s="492"/>
      <c r="I6" s="492"/>
      <c r="J6" s="492"/>
      <c r="K6" s="492"/>
      <c r="L6" s="492"/>
      <c r="M6" s="492"/>
      <c r="N6" s="243"/>
      <c r="O6" s="243"/>
    </row>
    <row r="7" spans="3:16" ht="20.149999999999999" customHeight="1" x14ac:dyDescent="0.45">
      <c r="C7" s="476" t="s">
        <v>318</v>
      </c>
      <c r="D7" s="476"/>
      <c r="E7" s="476"/>
      <c r="F7" s="476"/>
      <c r="G7" s="476"/>
      <c r="H7" s="476"/>
      <c r="I7" s="476"/>
      <c r="J7" s="476"/>
      <c r="K7" s="476"/>
      <c r="L7" s="476"/>
      <c r="M7" s="476"/>
      <c r="N7" s="243"/>
      <c r="O7" s="243"/>
    </row>
    <row r="8" spans="3:16" ht="20.149999999999999" customHeight="1" x14ac:dyDescent="0.45">
      <c r="C8" s="476" t="s">
        <v>559</v>
      </c>
      <c r="D8" s="476"/>
      <c r="E8" s="476"/>
      <c r="F8" s="476"/>
      <c r="G8" s="476"/>
      <c r="H8" s="476"/>
      <c r="I8" s="476"/>
      <c r="J8" s="476"/>
      <c r="K8" s="476"/>
      <c r="L8" s="476"/>
      <c r="M8" s="476"/>
      <c r="N8" s="221"/>
      <c r="O8" s="221"/>
    </row>
    <row r="9" spans="3:16" ht="15" customHeight="1" x14ac:dyDescent="0.4"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spans="3:16" ht="15" customHeight="1" x14ac:dyDescent="0.45">
      <c r="C10" s="220" t="s">
        <v>566</v>
      </c>
      <c r="D10" s="221"/>
      <c r="E10" s="221"/>
      <c r="F10" s="221"/>
      <c r="G10" s="221"/>
      <c r="H10" s="221"/>
      <c r="I10" s="221"/>
      <c r="J10" s="221"/>
      <c r="K10" s="221"/>
      <c r="L10" s="247" t="s">
        <v>326</v>
      </c>
      <c r="M10" s="219">
        <v>-1459.8300000000008</v>
      </c>
      <c r="N10" s="8"/>
      <c r="O10" s="8"/>
      <c r="P10" s="135" t="s">
        <v>245</v>
      </c>
    </row>
    <row r="11" spans="3:16" ht="15" customHeight="1" x14ac:dyDescent="0.45">
      <c r="C11" s="221"/>
      <c r="D11" s="221"/>
      <c r="E11" s="221"/>
      <c r="F11" s="221"/>
      <c r="G11" s="221"/>
      <c r="H11" s="221"/>
      <c r="I11" s="221"/>
      <c r="J11" s="221"/>
      <c r="K11" s="221"/>
      <c r="L11" s="8"/>
      <c r="M11" s="8"/>
      <c r="N11" s="8"/>
      <c r="O11" s="8"/>
    </row>
    <row r="12" spans="3:16" ht="15" customHeight="1" x14ac:dyDescent="0.45">
      <c r="C12" s="220" t="s">
        <v>560</v>
      </c>
      <c r="D12" s="220"/>
      <c r="E12" s="221"/>
      <c r="F12" s="221"/>
      <c r="G12" s="221"/>
      <c r="H12" s="221"/>
      <c r="I12" s="221"/>
      <c r="J12" s="221"/>
      <c r="K12" s="221"/>
      <c r="L12" s="8"/>
      <c r="M12" s="8"/>
      <c r="N12" s="8"/>
      <c r="O12" s="8"/>
    </row>
    <row r="13" spans="3:16" ht="15" customHeight="1" x14ac:dyDescent="0.45">
      <c r="C13" s="221"/>
      <c r="D13" s="221"/>
      <c r="E13" s="221"/>
      <c r="F13" s="221"/>
      <c r="G13" s="221"/>
      <c r="H13" s="221"/>
      <c r="I13" s="226" t="s">
        <v>245</v>
      </c>
      <c r="J13" s="226"/>
      <c r="K13" s="226" t="s">
        <v>245</v>
      </c>
      <c r="L13" s="19"/>
      <c r="M13" s="8"/>
      <c r="N13" s="8"/>
      <c r="O13" s="8"/>
    </row>
    <row r="14" spans="3:16" ht="15" customHeight="1" x14ac:dyDescent="0.45">
      <c r="C14" s="476" t="s">
        <v>305</v>
      </c>
      <c r="D14" s="476"/>
      <c r="E14" s="476"/>
      <c r="F14" s="221"/>
      <c r="G14" s="221" t="s">
        <v>320</v>
      </c>
      <c r="H14" s="221"/>
      <c r="I14" s="226"/>
      <c r="J14" s="226"/>
      <c r="K14" s="226"/>
      <c r="L14" s="19"/>
      <c r="M14" s="8"/>
      <c r="N14" s="8"/>
      <c r="O14" s="8"/>
    </row>
    <row r="15" spans="3:16" ht="15" customHeight="1" x14ac:dyDescent="0.45">
      <c r="C15" s="238"/>
      <c r="D15" s="238"/>
      <c r="E15" s="238"/>
      <c r="F15" s="221"/>
      <c r="G15" s="221"/>
      <c r="H15" s="221"/>
      <c r="I15" s="226"/>
      <c r="J15" s="226"/>
      <c r="K15" s="226"/>
      <c r="L15" s="19"/>
      <c r="M15" s="8"/>
      <c r="N15" s="8"/>
      <c r="O15" s="8"/>
    </row>
    <row r="16" spans="3:16" ht="15" customHeight="1" x14ac:dyDescent="0.45">
      <c r="C16" s="476" t="s">
        <v>245</v>
      </c>
      <c r="D16" s="476"/>
      <c r="E16" s="476"/>
      <c r="F16" s="221"/>
      <c r="G16" s="221"/>
      <c r="H16" s="239" t="s">
        <v>316</v>
      </c>
      <c r="I16" s="239" t="s">
        <v>2</v>
      </c>
      <c r="J16" s="239" t="s">
        <v>407</v>
      </c>
      <c r="K16" s="239" t="s">
        <v>306</v>
      </c>
      <c r="L16" s="19"/>
      <c r="M16" s="8"/>
      <c r="N16" s="8"/>
      <c r="O16" s="8"/>
    </row>
    <row r="17" spans="3:17" ht="15" customHeight="1" x14ac:dyDescent="0.45">
      <c r="C17" s="221"/>
      <c r="D17" s="221"/>
      <c r="E17" s="226" t="s">
        <v>245</v>
      </c>
      <c r="F17" s="226"/>
      <c r="G17" s="240" t="s">
        <v>245</v>
      </c>
      <c r="H17" s="222" t="s">
        <v>245</v>
      </c>
      <c r="I17" s="241" t="s">
        <v>245</v>
      </c>
      <c r="J17" s="241"/>
      <c r="K17" s="230" t="s">
        <v>245</v>
      </c>
      <c r="L17" s="201"/>
      <c r="M17" s="8"/>
      <c r="N17" s="8"/>
      <c r="O17" s="8"/>
    </row>
    <row r="18" spans="3:17" ht="20.149999999999999" customHeight="1" x14ac:dyDescent="0.45">
      <c r="C18" s="221"/>
      <c r="D18" s="221"/>
      <c r="E18" s="226" t="s">
        <v>67</v>
      </c>
      <c r="F18" s="226"/>
      <c r="G18" s="240" t="s">
        <v>140</v>
      </c>
      <c r="H18" s="222">
        <v>1400</v>
      </c>
      <c r="I18" s="222">
        <v>300</v>
      </c>
      <c r="J18" s="222">
        <v>0</v>
      </c>
      <c r="K18" s="222">
        <f>H18-I18-J18</f>
        <v>1100</v>
      </c>
      <c r="L18" s="216"/>
      <c r="M18" s="8"/>
      <c r="N18" s="8"/>
      <c r="O18" s="8"/>
    </row>
    <row r="19" spans="3:17" ht="20.149999999999999" customHeight="1" x14ac:dyDescent="0.45">
      <c r="C19" s="221"/>
      <c r="D19" s="221"/>
      <c r="E19" s="226" t="s">
        <v>67</v>
      </c>
      <c r="F19" s="226"/>
      <c r="G19" s="240" t="s">
        <v>141</v>
      </c>
      <c r="H19" s="223">
        <v>1331</v>
      </c>
      <c r="I19" s="222">
        <v>600</v>
      </c>
      <c r="J19" s="222">
        <v>0</v>
      </c>
      <c r="K19" s="222">
        <f t="shared" ref="K19:K24" si="0">H19-I19</f>
        <v>731</v>
      </c>
      <c r="L19" s="216"/>
      <c r="M19" s="8"/>
      <c r="N19" s="8"/>
      <c r="O19" s="8"/>
      <c r="P19" s="272" t="s">
        <v>245</v>
      </c>
    </row>
    <row r="20" spans="3:17" ht="20.149999999999999" customHeight="1" x14ac:dyDescent="0.45">
      <c r="C20" s="221"/>
      <c r="D20" s="221"/>
      <c r="E20" s="336" t="s">
        <v>67</v>
      </c>
      <c r="F20" s="226"/>
      <c r="G20" s="240">
        <v>17</v>
      </c>
      <c r="H20" s="337">
        <v>310</v>
      </c>
      <c r="I20" s="222">
        <v>0</v>
      </c>
      <c r="J20" s="222">
        <v>0</v>
      </c>
      <c r="K20" s="222">
        <f t="shared" si="0"/>
        <v>310</v>
      </c>
      <c r="L20" s="216"/>
      <c r="M20" s="8"/>
      <c r="N20" s="8"/>
      <c r="O20" s="8"/>
      <c r="P20" s="272"/>
    </row>
    <row r="21" spans="3:17" ht="20.149999999999999" customHeight="1" x14ac:dyDescent="0.45">
      <c r="C21" s="221"/>
      <c r="D21" s="221"/>
      <c r="E21" s="336" t="s">
        <v>67</v>
      </c>
      <c r="F21" s="226"/>
      <c r="G21" s="240">
        <v>18</v>
      </c>
      <c r="H21" s="337">
        <v>584</v>
      </c>
      <c r="I21" s="222">
        <v>0</v>
      </c>
      <c r="J21" s="222">
        <v>0</v>
      </c>
      <c r="K21" s="222">
        <f t="shared" si="0"/>
        <v>584</v>
      </c>
      <c r="L21" s="216"/>
      <c r="M21" s="8"/>
      <c r="N21" s="8"/>
      <c r="O21" s="8"/>
      <c r="P21" s="272"/>
    </row>
    <row r="22" spans="3:17" ht="20.149999999999999" customHeight="1" x14ac:dyDescent="0.45">
      <c r="C22" s="221"/>
      <c r="D22" s="221"/>
      <c r="E22" s="336" t="s">
        <v>67</v>
      </c>
      <c r="F22" s="226"/>
      <c r="G22" s="240">
        <v>19</v>
      </c>
      <c r="H22" s="337">
        <v>680</v>
      </c>
      <c r="I22" s="222">
        <v>0</v>
      </c>
      <c r="J22" s="222">
        <v>0</v>
      </c>
      <c r="K22" s="222">
        <f t="shared" si="0"/>
        <v>680</v>
      </c>
      <c r="L22" s="216"/>
      <c r="M22" s="8"/>
      <c r="N22" s="8"/>
      <c r="O22" s="8"/>
      <c r="P22" s="272"/>
    </row>
    <row r="23" spans="3:17" ht="20.149999999999999" customHeight="1" x14ac:dyDescent="0.45">
      <c r="C23" s="221"/>
      <c r="D23" s="221"/>
      <c r="E23" s="226" t="s">
        <v>67</v>
      </c>
      <c r="F23" s="226"/>
      <c r="G23" s="240">
        <v>20</v>
      </c>
      <c r="H23" s="223">
        <v>3382</v>
      </c>
      <c r="I23" s="222">
        <v>0</v>
      </c>
      <c r="J23" s="222">
        <v>0</v>
      </c>
      <c r="K23" s="222">
        <f t="shared" si="0"/>
        <v>3382</v>
      </c>
      <c r="L23" s="216"/>
      <c r="M23" s="8"/>
      <c r="N23" s="8"/>
      <c r="O23" s="8"/>
    </row>
    <row r="24" spans="3:17" ht="20.149999999999999" customHeight="1" x14ac:dyDescent="0.75">
      <c r="C24" s="221"/>
      <c r="D24" s="221"/>
      <c r="E24" s="226" t="s">
        <v>67</v>
      </c>
      <c r="F24" s="226"/>
      <c r="G24" s="240">
        <v>27</v>
      </c>
      <c r="H24" s="265">
        <v>0</v>
      </c>
      <c r="I24" s="266">
        <v>0</v>
      </c>
      <c r="J24" s="266">
        <v>0</v>
      </c>
      <c r="K24" s="266">
        <f t="shared" si="0"/>
        <v>0</v>
      </c>
      <c r="L24" s="216"/>
      <c r="M24" s="44" t="s">
        <v>245</v>
      </c>
      <c r="N24" s="8"/>
      <c r="O24" s="8"/>
      <c r="P24" t="s">
        <v>355</v>
      </c>
    </row>
    <row r="25" spans="3:17" ht="15" customHeight="1" x14ac:dyDescent="0.45">
      <c r="C25" s="221"/>
      <c r="D25" s="221"/>
      <c r="E25" s="226"/>
      <c r="F25" s="226"/>
      <c r="G25" s="240"/>
      <c r="H25" s="223"/>
      <c r="I25" s="222"/>
      <c r="J25" s="222"/>
      <c r="K25" s="222"/>
      <c r="L25" s="216"/>
      <c r="M25" s="44"/>
      <c r="N25" s="8"/>
      <c r="O25" s="8"/>
    </row>
    <row r="26" spans="3:17" ht="15" customHeight="1" x14ac:dyDescent="0.45">
      <c r="C26" s="221"/>
      <c r="D26" s="221"/>
      <c r="E26" s="238" t="s">
        <v>65</v>
      </c>
      <c r="F26" s="221"/>
      <c r="G26" s="226"/>
      <c r="H26" s="288">
        <f>SUM(H18:H24)</f>
        <v>7687</v>
      </c>
      <c r="I26" s="296">
        <f>SUM(I18:I24)</f>
        <v>900</v>
      </c>
      <c r="J26" s="288">
        <f>SUM(J18:J24)</f>
        <v>0</v>
      </c>
      <c r="K26" s="248">
        <f>SUM(K18:K24)</f>
        <v>6787</v>
      </c>
      <c r="L26" s="218"/>
      <c r="M26" s="44" t="s">
        <v>245</v>
      </c>
      <c r="N26" s="8"/>
      <c r="O26" s="8"/>
      <c r="P26" s="7">
        <f>H26-I26</f>
        <v>6787</v>
      </c>
      <c r="Q26" s="135" t="s">
        <v>245</v>
      </c>
    </row>
    <row r="27" spans="3:17" ht="15" customHeight="1" x14ac:dyDescent="0.45">
      <c r="C27" s="221"/>
      <c r="D27" s="221"/>
      <c r="E27" s="221"/>
      <c r="F27" s="221"/>
      <c r="G27" s="226"/>
      <c r="H27" s="224"/>
      <c r="I27" s="222"/>
      <c r="J27" s="222"/>
      <c r="K27" s="222"/>
      <c r="L27" s="216"/>
      <c r="M27" s="44"/>
      <c r="N27" s="8"/>
      <c r="O27" s="8"/>
    </row>
    <row r="28" spans="3:17" ht="15.75" customHeight="1" x14ac:dyDescent="0.45">
      <c r="C28" s="220" t="s">
        <v>245</v>
      </c>
      <c r="D28" s="221"/>
      <c r="E28" s="221"/>
      <c r="F28" s="221"/>
      <c r="G28" s="226"/>
      <c r="H28" s="224"/>
      <c r="I28" s="222"/>
      <c r="J28" s="222"/>
      <c r="K28" s="248" t="s">
        <v>245</v>
      </c>
      <c r="L28" s="216"/>
      <c r="M28" s="44"/>
      <c r="N28" s="8"/>
      <c r="O28" s="8"/>
    </row>
    <row r="29" spans="3:17" ht="15" customHeight="1" x14ac:dyDescent="0.45">
      <c r="C29" s="221"/>
      <c r="D29" s="221"/>
      <c r="E29" s="221"/>
      <c r="F29" s="221"/>
      <c r="G29" s="226"/>
      <c r="H29" s="224"/>
      <c r="I29" s="222"/>
      <c r="J29" s="222"/>
      <c r="K29" s="222"/>
      <c r="L29" s="216"/>
      <c r="M29" s="44"/>
      <c r="N29" s="8"/>
      <c r="O29" s="8"/>
    </row>
    <row r="30" spans="3:17" ht="15" customHeight="1" x14ac:dyDescent="0.45">
      <c r="C30" s="220" t="s">
        <v>587</v>
      </c>
      <c r="D30" s="220"/>
      <c r="E30" s="220"/>
      <c r="F30" s="220"/>
      <c r="G30" s="220"/>
      <c r="H30" s="220"/>
      <c r="I30" s="220"/>
      <c r="J30" s="297"/>
      <c r="K30" s="219" t="s">
        <v>245</v>
      </c>
      <c r="L30" s="219"/>
      <c r="M30" s="225" t="s">
        <v>245</v>
      </c>
      <c r="N30" s="8"/>
      <c r="O30" s="8"/>
    </row>
    <row r="31" spans="3:17" ht="15" customHeight="1" x14ac:dyDescent="0.45">
      <c r="C31" s="220"/>
      <c r="D31" s="221"/>
      <c r="E31" s="221"/>
      <c r="F31" s="221"/>
      <c r="G31" s="221"/>
      <c r="H31" s="226"/>
      <c r="I31" s="230"/>
      <c r="J31" s="230"/>
      <c r="K31" s="219"/>
      <c r="L31" s="219"/>
      <c r="M31" s="225"/>
      <c r="N31" s="8"/>
      <c r="O31" s="8"/>
    </row>
    <row r="32" spans="3:17" ht="22.95" customHeight="1" x14ac:dyDescent="0.45">
      <c r="C32" s="220"/>
      <c r="D32" s="221"/>
      <c r="E32" s="220" t="s">
        <v>586</v>
      </c>
      <c r="F32" s="220"/>
      <c r="G32" s="220"/>
      <c r="H32" s="220"/>
      <c r="I32" s="230"/>
      <c r="J32" s="230"/>
      <c r="K32" s="333">
        <f>'Oct-2024-Sched A'!I55</f>
        <v>39750</v>
      </c>
      <c r="L32" s="219"/>
      <c r="M32" s="231">
        <f>K32+K26</f>
        <v>46537</v>
      </c>
      <c r="N32" s="8"/>
      <c r="O32" s="8"/>
      <c r="P32" s="304" t="s">
        <v>245</v>
      </c>
      <c r="Q32" s="135" t="s">
        <v>245</v>
      </c>
    </row>
    <row r="33" spans="3:18" ht="15" customHeight="1" x14ac:dyDescent="0.75">
      <c r="C33" s="242"/>
      <c r="D33" s="236"/>
      <c r="E33" s="243"/>
      <c r="F33" s="236"/>
      <c r="G33" s="226"/>
      <c r="H33" s="226"/>
      <c r="I33" s="226"/>
      <c r="J33" s="226"/>
      <c r="K33" s="222"/>
      <c r="L33" s="222"/>
      <c r="M33" s="244"/>
      <c r="N33" s="8"/>
      <c r="O33" s="8"/>
    </row>
    <row r="34" spans="3:18" ht="15" customHeight="1" x14ac:dyDescent="0.45">
      <c r="C34" s="220" t="s">
        <v>442</v>
      </c>
      <c r="D34" s="220"/>
      <c r="E34" s="221"/>
      <c r="F34" s="221"/>
      <c r="G34" s="221"/>
      <c r="H34" s="221"/>
      <c r="I34" s="221"/>
      <c r="J34" s="221"/>
      <c r="K34" s="221"/>
      <c r="L34" s="221"/>
      <c r="M34" s="353" t="s">
        <v>245</v>
      </c>
      <c r="N34" s="8"/>
      <c r="O34" s="8"/>
    </row>
    <row r="35" spans="3:18" ht="18" customHeight="1" x14ac:dyDescent="0.45">
      <c r="C35" s="220"/>
      <c r="D35" s="220"/>
      <c r="E35" s="354">
        <v>39356</v>
      </c>
      <c r="F35" s="221"/>
      <c r="G35" s="221"/>
      <c r="H35" s="221"/>
      <c r="I35" s="221"/>
      <c r="J35" s="221"/>
      <c r="K35" s="355">
        <v>20000</v>
      </c>
      <c r="L35" s="221"/>
      <c r="M35" s="353"/>
      <c r="N35" s="8"/>
      <c r="O35" s="8"/>
    </row>
    <row r="36" spans="3:18" ht="18" customHeight="1" x14ac:dyDescent="0.45">
      <c r="C36" s="220"/>
      <c r="D36" s="220"/>
      <c r="E36" s="354">
        <v>43009</v>
      </c>
      <c r="F36" s="221"/>
      <c r="G36" s="221"/>
      <c r="H36" s="221"/>
      <c r="I36" s="221"/>
      <c r="J36" s="221"/>
      <c r="K36" s="356">
        <v>10000</v>
      </c>
      <c r="L36" s="221"/>
      <c r="M36" s="300">
        <f>SUM(K35:K36)</f>
        <v>30000</v>
      </c>
      <c r="N36" s="8"/>
      <c r="O36" s="8"/>
    </row>
    <row r="37" spans="3:18" ht="15" customHeight="1" x14ac:dyDescent="0.75">
      <c r="C37" s="242"/>
      <c r="D37" s="236"/>
      <c r="E37" s="243"/>
      <c r="F37" s="236"/>
      <c r="G37" s="226"/>
      <c r="H37" s="226"/>
      <c r="I37" s="226"/>
      <c r="J37" s="226"/>
      <c r="K37" s="222"/>
      <c r="L37" s="222"/>
      <c r="M37" s="244"/>
      <c r="N37" s="8"/>
      <c r="O37" s="8"/>
    </row>
    <row r="38" spans="3:18" ht="20.149999999999999" customHeight="1" x14ac:dyDescent="0.45">
      <c r="C38" s="220" t="s">
        <v>313</v>
      </c>
      <c r="D38" s="220"/>
      <c r="E38" s="221"/>
      <c r="F38" s="221"/>
      <c r="G38" s="221"/>
      <c r="H38" s="221"/>
      <c r="I38" s="221"/>
      <c r="J38" s="221"/>
      <c r="K38" s="221"/>
      <c r="L38" s="247" t="s">
        <v>326</v>
      </c>
      <c r="M38" s="219">
        <f>M32+M36+M10</f>
        <v>75077.17</v>
      </c>
      <c r="N38" s="8"/>
      <c r="O38" s="8"/>
      <c r="P38" t="s">
        <v>245</v>
      </c>
    </row>
    <row r="39" spans="3:18" ht="13.5" customHeight="1" x14ac:dyDescent="0.45">
      <c r="C39" s="220"/>
      <c r="D39" s="220"/>
      <c r="E39" s="221"/>
      <c r="F39" s="221"/>
      <c r="G39" s="221"/>
      <c r="H39" s="221"/>
      <c r="I39" s="221"/>
      <c r="J39" s="221"/>
      <c r="K39" s="221"/>
      <c r="L39" s="221"/>
      <c r="M39" s="221"/>
      <c r="N39" s="8"/>
      <c r="O39" s="8"/>
    </row>
    <row r="40" spans="3:18" ht="13.5" customHeight="1" x14ac:dyDescent="0.45">
      <c r="C40" s="220"/>
      <c r="D40" s="220"/>
      <c r="E40" s="221"/>
      <c r="F40" s="221"/>
      <c r="G40" s="221"/>
      <c r="H40" s="221"/>
      <c r="I40" s="221"/>
      <c r="J40" s="221"/>
      <c r="K40" s="221"/>
      <c r="L40" s="221"/>
      <c r="M40" s="221"/>
      <c r="N40" s="8"/>
      <c r="O40" s="8"/>
    </row>
    <row r="41" spans="3:18" ht="13.5" customHeight="1" x14ac:dyDescent="0.45">
      <c r="C41" s="220"/>
      <c r="D41" s="220"/>
      <c r="E41" s="221"/>
      <c r="F41" s="221"/>
      <c r="G41" s="221"/>
      <c r="H41" s="221"/>
      <c r="I41" s="221"/>
      <c r="J41" s="221"/>
      <c r="K41" s="221"/>
      <c r="L41" s="221"/>
      <c r="M41" s="221"/>
      <c r="N41" s="8"/>
      <c r="O41" s="8"/>
    </row>
    <row r="42" spans="3:18" ht="13.5" customHeight="1" x14ac:dyDescent="0.45">
      <c r="C42" s="220"/>
      <c r="D42" s="220"/>
      <c r="E42" s="221"/>
      <c r="F42" s="221"/>
      <c r="G42" s="221"/>
      <c r="H42" s="221"/>
      <c r="I42" s="221"/>
      <c r="J42" s="221"/>
      <c r="K42" s="221"/>
      <c r="L42" s="221"/>
      <c r="M42" s="221"/>
      <c r="N42" s="8"/>
      <c r="O42" s="8"/>
    </row>
    <row r="43" spans="3:18" ht="13.5" customHeight="1" x14ac:dyDescent="0.45">
      <c r="C43" s="220" t="s">
        <v>561</v>
      </c>
      <c r="D43" s="220"/>
      <c r="E43" s="221"/>
      <c r="F43" s="221"/>
      <c r="G43" s="221"/>
      <c r="H43" s="221"/>
      <c r="I43" s="221"/>
      <c r="J43" s="221"/>
      <c r="K43" s="221"/>
      <c r="L43" s="221"/>
      <c r="M43" s="221"/>
      <c r="N43" s="8"/>
      <c r="O43" s="8"/>
    </row>
    <row r="44" spans="3:18" ht="15" customHeight="1" x14ac:dyDescent="0.45">
      <c r="C44" s="221" t="s">
        <v>245</v>
      </c>
      <c r="D44" s="221"/>
      <c r="E44" s="221" t="s">
        <v>245</v>
      </c>
      <c r="F44" s="221"/>
      <c r="G44" s="221"/>
      <c r="H44" s="221"/>
      <c r="I44" s="221"/>
      <c r="J44" s="221"/>
      <c r="K44" s="221"/>
      <c r="L44" s="221"/>
      <c r="M44" s="221"/>
      <c r="N44" s="8"/>
      <c r="O44" s="8"/>
    </row>
    <row r="45" spans="3:18" ht="15" customHeight="1" x14ac:dyDescent="0.45">
      <c r="C45" s="239" t="s">
        <v>5</v>
      </c>
      <c r="D45" s="226"/>
      <c r="E45" s="226" t="s">
        <v>257</v>
      </c>
      <c r="F45" s="226"/>
      <c r="G45" s="487" t="s">
        <v>373</v>
      </c>
      <c r="H45" s="487"/>
      <c r="I45" s="487"/>
      <c r="J45" s="236"/>
      <c r="K45" s="236" t="s">
        <v>123</v>
      </c>
      <c r="L45" s="221"/>
      <c r="M45" s="226" t="s">
        <v>245</v>
      </c>
      <c r="N45" s="19"/>
      <c r="O45" s="19"/>
    </row>
    <row r="46" spans="3:18" ht="15" customHeight="1" x14ac:dyDescent="0.45">
      <c r="C46" s="226"/>
      <c r="D46" s="226"/>
      <c r="E46" s="226"/>
      <c r="F46" s="226"/>
      <c r="G46" s="221"/>
      <c r="H46" s="221"/>
      <c r="I46" s="221"/>
      <c r="J46" s="221"/>
      <c r="K46" s="221"/>
      <c r="L46" s="221"/>
      <c r="M46" s="226"/>
      <c r="N46" s="19"/>
      <c r="O46" s="19"/>
    </row>
    <row r="47" spans="3:18" ht="15" customHeight="1" x14ac:dyDescent="0.45">
      <c r="C47" s="292" t="s">
        <v>573</v>
      </c>
      <c r="D47" s="226"/>
      <c r="E47" s="226"/>
      <c r="F47" s="226"/>
      <c r="G47" s="228" t="s">
        <v>572</v>
      </c>
      <c r="H47" s="221"/>
      <c r="I47" s="221"/>
      <c r="J47" s="221"/>
      <c r="K47" s="222">
        <v>500</v>
      </c>
      <c r="L47" s="221"/>
      <c r="M47" s="226"/>
      <c r="N47" s="19"/>
      <c r="O47" s="19"/>
    </row>
    <row r="48" spans="3:18" ht="15" customHeight="1" x14ac:dyDescent="0.45">
      <c r="C48" s="292" t="s">
        <v>573</v>
      </c>
      <c r="D48" s="226"/>
      <c r="E48" s="226"/>
      <c r="F48" s="226"/>
      <c r="G48" s="228" t="s">
        <v>574</v>
      </c>
      <c r="H48" s="221"/>
      <c r="I48" s="221"/>
      <c r="J48" s="221"/>
      <c r="K48" s="358">
        <v>1000</v>
      </c>
      <c r="L48" s="221"/>
      <c r="M48" s="226"/>
      <c r="N48" s="19"/>
      <c r="O48" s="19"/>
      <c r="P48" s="7">
        <f>K48+SUM(K50:K54)</f>
        <v>5888.3</v>
      </c>
      <c r="Q48">
        <v>5288.3</v>
      </c>
      <c r="R48" s="7">
        <f>P48-Q48</f>
        <v>600</v>
      </c>
    </row>
    <row r="49" spans="3:18" ht="15" customHeight="1" x14ac:dyDescent="0.45">
      <c r="C49" s="292" t="s">
        <v>565</v>
      </c>
      <c r="D49" s="226"/>
      <c r="E49" s="226"/>
      <c r="F49" s="226"/>
      <c r="G49" s="228" t="s">
        <v>575</v>
      </c>
      <c r="H49" s="221"/>
      <c r="I49" s="221"/>
      <c r="J49" s="221"/>
      <c r="K49" s="222">
        <v>8900</v>
      </c>
      <c r="L49" s="221"/>
      <c r="M49" s="226"/>
      <c r="N49" s="19"/>
      <c r="O49" s="19"/>
    </row>
    <row r="50" spans="3:18" ht="15" customHeight="1" x14ac:dyDescent="0.45">
      <c r="C50" s="292" t="s">
        <v>579</v>
      </c>
      <c r="D50" s="226"/>
      <c r="E50" s="226"/>
      <c r="F50" s="226"/>
      <c r="G50" s="228" t="s">
        <v>589</v>
      </c>
      <c r="H50" s="221"/>
      <c r="I50" s="221"/>
      <c r="J50" s="221"/>
      <c r="K50" s="358">
        <v>400</v>
      </c>
      <c r="L50" s="221"/>
      <c r="M50" s="226"/>
      <c r="N50" s="19"/>
      <c r="O50" s="19"/>
    </row>
    <row r="51" spans="3:18" ht="20.149999999999999" customHeight="1" x14ac:dyDescent="0.45">
      <c r="C51" s="292" t="s">
        <v>582</v>
      </c>
      <c r="D51" s="226"/>
      <c r="E51" s="226"/>
      <c r="F51" s="226"/>
      <c r="G51" s="228" t="s">
        <v>583</v>
      </c>
      <c r="H51" s="221"/>
      <c r="I51" s="221"/>
      <c r="J51" s="221"/>
      <c r="K51" s="358">
        <v>550</v>
      </c>
      <c r="L51" s="222"/>
      <c r="M51" s="222"/>
      <c r="N51" s="19"/>
      <c r="O51" s="19"/>
    </row>
    <row r="52" spans="3:18" ht="15" customHeight="1" x14ac:dyDescent="0.45">
      <c r="C52" s="292" t="s">
        <v>581</v>
      </c>
      <c r="D52" s="226"/>
      <c r="E52" s="226"/>
      <c r="F52" s="226"/>
      <c r="G52" s="228" t="s">
        <v>578</v>
      </c>
      <c r="H52" s="221"/>
      <c r="I52" s="221"/>
      <c r="J52" s="221"/>
      <c r="K52" s="358">
        <v>3000</v>
      </c>
      <c r="L52" s="221"/>
      <c r="M52" s="226"/>
      <c r="N52" s="19"/>
      <c r="O52" s="19"/>
    </row>
    <row r="53" spans="3:18" ht="20.149999999999999" customHeight="1" x14ac:dyDescent="0.45">
      <c r="C53" s="292" t="s">
        <v>580</v>
      </c>
      <c r="D53" s="226"/>
      <c r="E53" s="226"/>
      <c r="F53" s="226"/>
      <c r="G53" s="228" t="s">
        <v>576</v>
      </c>
      <c r="H53" s="221"/>
      <c r="I53" s="221"/>
      <c r="J53" s="221"/>
      <c r="K53" s="358">
        <v>638.29999999999995</v>
      </c>
      <c r="L53" s="222"/>
      <c r="M53" s="222"/>
      <c r="N53" s="19"/>
      <c r="O53" s="19"/>
    </row>
    <row r="54" spans="3:18" ht="20.149999999999999" customHeight="1" x14ac:dyDescent="0.45">
      <c r="C54" s="292" t="s">
        <v>580</v>
      </c>
      <c r="D54" s="226"/>
      <c r="E54" s="226"/>
      <c r="F54" s="226"/>
      <c r="G54" s="228" t="s">
        <v>577</v>
      </c>
      <c r="H54" s="221"/>
      <c r="I54" s="221"/>
      <c r="J54" s="221"/>
      <c r="K54" s="358">
        <v>300</v>
      </c>
      <c r="L54" s="222"/>
      <c r="M54" s="222"/>
      <c r="N54" s="19"/>
      <c r="O54" s="19"/>
      <c r="P54" s="7">
        <f>SUM(K47:K54)</f>
        <v>15288.3</v>
      </c>
      <c r="Q54">
        <v>5288.3</v>
      </c>
      <c r="R54" s="7">
        <f>Q54-P54</f>
        <v>-10000</v>
      </c>
    </row>
    <row r="55" spans="3:18" ht="20.149999999999999" customHeight="1" x14ac:dyDescent="0.75">
      <c r="C55" s="292" t="s">
        <v>584</v>
      </c>
      <c r="D55" s="226"/>
      <c r="E55" s="226"/>
      <c r="F55" s="226"/>
      <c r="G55" s="228" t="s">
        <v>585</v>
      </c>
      <c r="H55" s="221"/>
      <c r="I55" s="221"/>
      <c r="J55" s="221"/>
      <c r="K55" s="222">
        <v>47093.4</v>
      </c>
      <c r="L55" s="222"/>
      <c r="M55" s="266">
        <f>SUM(K47:K55)</f>
        <v>62381.7</v>
      </c>
      <c r="N55" s="19"/>
      <c r="O55" s="19"/>
    </row>
    <row r="56" spans="3:18" ht="20.149999999999999" hidden="1" customHeight="1" x14ac:dyDescent="0.75">
      <c r="C56" s="292" t="s">
        <v>447</v>
      </c>
      <c r="D56" s="226"/>
      <c r="E56" s="226"/>
      <c r="F56" s="226"/>
      <c r="G56" s="228" t="s">
        <v>449</v>
      </c>
      <c r="H56" s="221"/>
      <c r="I56" s="221"/>
      <c r="J56" s="221"/>
      <c r="K56" s="222">
        <v>0</v>
      </c>
      <c r="L56" s="222"/>
      <c r="M56" s="266"/>
      <c r="N56" s="19"/>
      <c r="O56" s="19"/>
    </row>
    <row r="57" spans="3:18" ht="20.149999999999999" hidden="1" customHeight="1" x14ac:dyDescent="0.75">
      <c r="C57" s="292" t="s">
        <v>450</v>
      </c>
      <c r="D57" s="226"/>
      <c r="E57" s="226"/>
      <c r="F57" s="226"/>
      <c r="G57" s="228" t="s">
        <v>451</v>
      </c>
      <c r="H57" s="221"/>
      <c r="I57" s="221"/>
      <c r="J57" s="221"/>
      <c r="K57" s="222">
        <v>0</v>
      </c>
      <c r="L57" s="222"/>
      <c r="M57" s="266"/>
      <c r="N57" s="19"/>
      <c r="O57" s="19"/>
    </row>
    <row r="58" spans="3:18" ht="20.149999999999999" hidden="1" customHeight="1" x14ac:dyDescent="0.75">
      <c r="C58" s="292" t="s">
        <v>452</v>
      </c>
      <c r="D58" s="226"/>
      <c r="E58" s="226"/>
      <c r="F58" s="226"/>
      <c r="G58" s="228" t="s">
        <v>432</v>
      </c>
      <c r="H58" s="221"/>
      <c r="I58" s="221"/>
      <c r="J58" s="221"/>
      <c r="K58" s="222">
        <v>0</v>
      </c>
      <c r="L58" s="222"/>
      <c r="M58" s="266"/>
      <c r="N58" s="19"/>
      <c r="O58" s="19"/>
    </row>
    <row r="59" spans="3:18" ht="20.149999999999999" hidden="1" customHeight="1" x14ac:dyDescent="0.85">
      <c r="C59" s="292" t="s">
        <v>453</v>
      </c>
      <c r="D59" s="226"/>
      <c r="E59" s="226"/>
      <c r="F59" s="226"/>
      <c r="G59" s="228" t="s">
        <v>454</v>
      </c>
      <c r="H59" s="221"/>
      <c r="I59" s="221"/>
      <c r="J59" s="221"/>
      <c r="K59" s="266">
        <v>0</v>
      </c>
      <c r="L59" s="222"/>
      <c r="M59" s="301">
        <f>SUM(K53:K59)</f>
        <v>48031.700000000004</v>
      </c>
      <c r="N59" s="19"/>
      <c r="O59" s="19"/>
    </row>
    <row r="60" spans="3:18" ht="15" customHeight="1" x14ac:dyDescent="0.45">
      <c r="C60" s="227"/>
      <c r="D60" s="227"/>
      <c r="E60" s="229"/>
      <c r="F60" s="229"/>
      <c r="G60" s="228"/>
      <c r="H60" s="221"/>
      <c r="I60" s="221"/>
      <c r="J60" s="221"/>
      <c r="K60" s="230"/>
      <c r="L60" s="230"/>
      <c r="M60" s="230"/>
      <c r="N60" s="201"/>
      <c r="O60" s="201"/>
    </row>
    <row r="61" spans="3:18" ht="20.149999999999999" customHeight="1" x14ac:dyDescent="0.45">
      <c r="C61" s="220" t="s">
        <v>327</v>
      </c>
      <c r="D61" s="220"/>
      <c r="E61" s="221"/>
      <c r="F61" s="221"/>
      <c r="G61" s="221"/>
      <c r="H61" s="221"/>
      <c r="I61" s="221"/>
      <c r="J61" s="221"/>
      <c r="K61" s="221"/>
      <c r="L61" s="221"/>
      <c r="M61" s="231">
        <f>M38-M55</f>
        <v>12695.470000000001</v>
      </c>
      <c r="N61" s="44"/>
      <c r="O61" s="44"/>
      <c r="P61">
        <v>11506.6</v>
      </c>
      <c r="Q61">
        <v>11506.6</v>
      </c>
    </row>
    <row r="62" spans="3:18" ht="13.5" customHeight="1" x14ac:dyDescent="0.45">
      <c r="C62" s="221"/>
      <c r="D62" s="221"/>
      <c r="E62" s="221"/>
      <c r="F62" s="221"/>
      <c r="G62" s="221"/>
      <c r="H62" s="221"/>
      <c r="I62" s="221"/>
      <c r="J62" s="221"/>
      <c r="K62" s="221"/>
      <c r="L62" s="221"/>
      <c r="M62" s="225"/>
      <c r="N62" s="44"/>
      <c r="O62" s="44"/>
      <c r="P62">
        <f>2750+38.87</f>
        <v>2788.87</v>
      </c>
      <c r="Q62" s="2">
        <v>38.869999999999997</v>
      </c>
    </row>
    <row r="63" spans="3:18" ht="20.149999999999999" customHeight="1" x14ac:dyDescent="0.85">
      <c r="C63" s="220" t="s">
        <v>562</v>
      </c>
      <c r="D63" s="221"/>
      <c r="E63" s="221"/>
      <c r="F63" s="221"/>
      <c r="G63" s="221"/>
      <c r="H63" s="221"/>
      <c r="I63" s="221"/>
      <c r="J63" s="221"/>
      <c r="K63" s="221"/>
      <c r="L63" s="221"/>
      <c r="M63" s="264">
        <v>0</v>
      </c>
      <c r="N63" s="44"/>
      <c r="O63" s="44"/>
      <c r="P63">
        <f>P62+P61</f>
        <v>14295.470000000001</v>
      </c>
      <c r="Q63" s="2">
        <v>1150</v>
      </c>
      <c r="R63">
        <f>SUM(Q62:Q63)</f>
        <v>1188.8699999999999</v>
      </c>
    </row>
    <row r="64" spans="3:18" ht="13.5" customHeight="1" x14ac:dyDescent="0.45">
      <c r="C64" s="221"/>
      <c r="D64" s="221"/>
      <c r="E64" s="221"/>
      <c r="F64" s="221"/>
      <c r="G64" s="221"/>
      <c r="H64" s="221"/>
      <c r="I64" s="221"/>
      <c r="J64" s="221"/>
      <c r="K64" s="221"/>
      <c r="L64" s="221"/>
      <c r="M64" s="225"/>
      <c r="N64" s="44"/>
      <c r="O64" s="44"/>
      <c r="Q64" s="359">
        <f>SUM(Q61:Q63)</f>
        <v>12695.470000000001</v>
      </c>
    </row>
    <row r="65" spans="2:20" ht="24.45" customHeight="1" thickBot="1" x14ac:dyDescent="0.5">
      <c r="C65" s="220" t="s">
        <v>563</v>
      </c>
      <c r="D65" s="221"/>
      <c r="E65" s="221"/>
      <c r="F65" s="221"/>
      <c r="G65" s="221"/>
      <c r="H65" s="221"/>
      <c r="I65" s="221"/>
      <c r="J65" s="221"/>
      <c r="K65" s="221"/>
      <c r="L65" s="245" t="s">
        <v>326</v>
      </c>
      <c r="M65" s="232">
        <f>M61-M63</f>
        <v>12695.470000000001</v>
      </c>
      <c r="N65" s="8"/>
      <c r="O65" s="8"/>
      <c r="P65" s="2" t="s">
        <v>245</v>
      </c>
      <c r="Q65" s="135">
        <v>14295.47</v>
      </c>
      <c r="R65" s="135">
        <f>Q64-Q65</f>
        <v>-1599.9999999999982</v>
      </c>
      <c r="S65" s="135"/>
      <c r="T65" s="135"/>
    </row>
    <row r="66" spans="2:20" ht="13.5" customHeight="1" thickTop="1" x14ac:dyDescent="0.45">
      <c r="C66" s="221"/>
      <c r="D66" s="221"/>
      <c r="E66" s="220"/>
      <c r="F66" s="220"/>
      <c r="G66" s="221"/>
      <c r="H66" s="221"/>
      <c r="I66" s="221"/>
      <c r="J66" s="221"/>
      <c r="K66" s="221"/>
      <c r="L66" s="221"/>
      <c r="M66" s="221"/>
      <c r="N66" s="8"/>
      <c r="O66" s="8"/>
      <c r="P66" s="135"/>
      <c r="Q66" s="474"/>
      <c r="R66" s="474"/>
    </row>
    <row r="67" spans="2:20" ht="13.5" customHeight="1" x14ac:dyDescent="0.45">
      <c r="C67" s="221"/>
      <c r="D67" s="221"/>
      <c r="E67" s="220"/>
      <c r="F67" s="220"/>
      <c r="G67" s="221"/>
      <c r="H67" s="221"/>
      <c r="I67" s="221"/>
      <c r="J67" s="221"/>
      <c r="K67" s="221"/>
      <c r="L67" s="221"/>
      <c r="M67" s="221"/>
      <c r="N67" s="8"/>
      <c r="O67" s="8"/>
      <c r="P67" s="270"/>
    </row>
    <row r="68" spans="2:20" ht="13.5" customHeight="1" thickBot="1" x14ac:dyDescent="0.45">
      <c r="C68" s="8"/>
      <c r="D68" s="8"/>
      <c r="E68" s="13"/>
      <c r="F68" s="13"/>
      <c r="G68" s="8"/>
      <c r="H68" s="8"/>
      <c r="I68" s="8"/>
      <c r="J68" s="8"/>
      <c r="K68" s="8"/>
      <c r="L68" s="8"/>
      <c r="M68" s="8"/>
      <c r="N68" s="8"/>
      <c r="O68" s="8"/>
    </row>
    <row r="69" spans="2:20" ht="13.5" customHeight="1" x14ac:dyDescent="0.45">
      <c r="B69" s="251"/>
      <c r="C69" s="493" t="s">
        <v>531</v>
      </c>
      <c r="D69" s="493"/>
      <c r="E69" s="493"/>
      <c r="F69" s="493"/>
      <c r="G69" s="493"/>
      <c r="H69" s="493"/>
      <c r="I69" s="252"/>
      <c r="J69" s="252"/>
      <c r="K69" s="252"/>
      <c r="L69" s="483" t="s">
        <v>326</v>
      </c>
      <c r="M69" s="479">
        <v>71421.62000000001</v>
      </c>
      <c r="N69" s="253"/>
      <c r="O69" s="8"/>
    </row>
    <row r="70" spans="2:20" ht="11.15" customHeight="1" x14ac:dyDescent="0.4">
      <c r="B70" s="254"/>
      <c r="C70" s="494"/>
      <c r="D70" s="494"/>
      <c r="E70" s="494"/>
      <c r="F70" s="494"/>
      <c r="G70" s="494"/>
      <c r="H70" s="494"/>
      <c r="I70" s="220"/>
      <c r="J70" s="220"/>
      <c r="K70" s="220"/>
      <c r="L70" s="484"/>
      <c r="M70" s="503"/>
      <c r="N70" s="255"/>
      <c r="O70" s="8"/>
    </row>
    <row r="71" spans="2:20" ht="16.2" customHeight="1" x14ac:dyDescent="0.4">
      <c r="B71" s="256"/>
      <c r="C71" s="496" t="s">
        <v>532</v>
      </c>
      <c r="D71" s="496"/>
      <c r="E71" s="496"/>
      <c r="F71" s="496"/>
      <c r="G71" s="496"/>
      <c r="H71" s="496"/>
      <c r="I71" s="233"/>
      <c r="J71" s="233"/>
      <c r="K71" s="307" t="s">
        <v>245</v>
      </c>
      <c r="L71" s="233"/>
      <c r="M71" s="261">
        <v>0</v>
      </c>
      <c r="N71" s="174"/>
      <c r="O71" s="8"/>
    </row>
    <row r="72" spans="2:20" ht="16.2" customHeight="1" x14ac:dyDescent="0.45">
      <c r="B72" s="254"/>
      <c r="C72" s="497" t="s">
        <v>322</v>
      </c>
      <c r="D72" s="497"/>
      <c r="E72" s="497"/>
      <c r="F72" s="497"/>
      <c r="G72" s="497"/>
      <c r="H72" s="497"/>
      <c r="I72" s="302"/>
      <c r="J72" s="302"/>
      <c r="K72" s="303"/>
      <c r="L72" s="303"/>
      <c r="M72" s="261">
        <f>5.78-1.16</f>
        <v>4.62</v>
      </c>
      <c r="N72" s="255"/>
      <c r="O72" s="8"/>
    </row>
    <row r="73" spans="2:20" ht="16.2" customHeight="1" thickBot="1" x14ac:dyDescent="0.5">
      <c r="B73" s="254"/>
      <c r="C73" s="496" t="s">
        <v>588</v>
      </c>
      <c r="D73" s="496"/>
      <c r="E73" s="496"/>
      <c r="F73" s="496"/>
      <c r="G73" s="496"/>
      <c r="H73" s="496"/>
      <c r="I73" s="221"/>
      <c r="J73" s="221"/>
      <c r="K73" s="230"/>
      <c r="L73" s="230"/>
      <c r="M73" s="262">
        <f>20000+10000</f>
        <v>30000</v>
      </c>
      <c r="N73" s="255"/>
      <c r="O73" s="8"/>
    </row>
    <row r="74" spans="2:20" ht="13.5" customHeight="1" x14ac:dyDescent="0.4">
      <c r="B74" s="251"/>
      <c r="C74" s="498" t="s">
        <v>564</v>
      </c>
      <c r="D74" s="498"/>
      <c r="E74" s="498"/>
      <c r="F74" s="498"/>
      <c r="G74" s="498"/>
      <c r="H74" s="498"/>
      <c r="I74" s="260"/>
      <c r="J74" s="260"/>
      <c r="K74" s="260"/>
      <c r="L74" s="485" t="s">
        <v>326</v>
      </c>
      <c r="M74" s="477">
        <f>SUM(M69:M72)-M73</f>
        <v>41426.240000000005</v>
      </c>
      <c r="N74" s="253"/>
      <c r="O74" s="8"/>
    </row>
    <row r="75" spans="2:20" ht="13.5" customHeight="1" thickBot="1" x14ac:dyDescent="0.45">
      <c r="B75" s="257"/>
      <c r="C75" s="499"/>
      <c r="D75" s="499"/>
      <c r="E75" s="499"/>
      <c r="F75" s="499"/>
      <c r="G75" s="499"/>
      <c r="H75" s="499"/>
      <c r="I75" s="258"/>
      <c r="J75" s="258"/>
      <c r="K75" s="258"/>
      <c r="L75" s="486"/>
      <c r="M75" s="478"/>
      <c r="N75" s="259"/>
      <c r="O75" s="8"/>
      <c r="P75" s="135" t="s">
        <v>245</v>
      </c>
    </row>
    <row r="76" spans="2:20" ht="13.5" customHeight="1" x14ac:dyDescent="0.4">
      <c r="C76" s="8"/>
      <c r="D76" s="8"/>
      <c r="E76" s="13"/>
      <c r="F76" s="13"/>
      <c r="G76" s="13"/>
      <c r="H76" s="13"/>
      <c r="I76" s="13"/>
      <c r="J76" s="13"/>
      <c r="K76" s="13"/>
      <c r="L76" s="13"/>
      <c r="M76" s="15" t="s">
        <v>245</v>
      </c>
      <c r="N76" s="8"/>
      <c r="O76" s="8"/>
    </row>
    <row r="77" spans="2:20" ht="13.5" customHeight="1" x14ac:dyDescent="0.4">
      <c r="C77" s="8"/>
      <c r="D77" s="8"/>
      <c r="E77" s="13"/>
      <c r="F77" s="13"/>
      <c r="G77" s="13"/>
      <c r="H77" s="13"/>
      <c r="I77" s="13"/>
      <c r="J77" s="13"/>
      <c r="K77" s="13"/>
      <c r="L77" s="13"/>
      <c r="M77" s="15"/>
      <c r="N77" s="8"/>
      <c r="O77" s="8"/>
    </row>
    <row r="78" spans="2:20" ht="13.5" customHeight="1" x14ac:dyDescent="0.4">
      <c r="C78" s="8"/>
      <c r="D78" s="8"/>
      <c r="E78" s="13"/>
      <c r="F78" s="13"/>
      <c r="G78" s="13"/>
      <c r="H78" s="13"/>
      <c r="I78" s="13"/>
      <c r="J78" s="13"/>
      <c r="K78" s="13"/>
      <c r="L78" s="13"/>
      <c r="M78" s="15"/>
      <c r="N78" s="8"/>
      <c r="O78" s="8"/>
    </row>
    <row r="79" spans="2:20" ht="13.5" customHeight="1" x14ac:dyDescent="0.4">
      <c r="C79" s="237" t="s">
        <v>13</v>
      </c>
      <c r="D79" s="235"/>
      <c r="E79" s="235"/>
      <c r="F79" s="235"/>
      <c r="G79" s="235" t="s">
        <v>82</v>
      </c>
      <c r="H79" s="235"/>
      <c r="I79" s="237" t="s">
        <v>289</v>
      </c>
      <c r="J79" s="237"/>
      <c r="K79" s="235"/>
      <c r="L79" s="235"/>
      <c r="M79" s="237" t="s">
        <v>261</v>
      </c>
      <c r="N79" s="8"/>
      <c r="O79" s="8"/>
    </row>
    <row r="80" spans="2:20" ht="13.5" customHeight="1" x14ac:dyDescent="0.4"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</row>
    <row r="81" spans="3:15" ht="20.149999999999999" customHeight="1" x14ac:dyDescent="0.4">
      <c r="C81" s="234" t="s">
        <v>290</v>
      </c>
      <c r="D81" s="235"/>
      <c r="E81" s="235"/>
      <c r="F81" s="235"/>
      <c r="G81" s="234" t="s">
        <v>14</v>
      </c>
      <c r="H81" s="235"/>
      <c r="I81" s="234" t="s">
        <v>17</v>
      </c>
      <c r="J81" s="234"/>
      <c r="K81" s="235"/>
      <c r="L81" s="235"/>
      <c r="M81" s="234" t="s">
        <v>8</v>
      </c>
      <c r="N81" s="8"/>
      <c r="O81" s="8"/>
    </row>
    <row r="82" spans="3:15" ht="13.5" customHeight="1" x14ac:dyDescent="0.4">
      <c r="C82" s="19" t="s">
        <v>317</v>
      </c>
      <c r="D82" s="8"/>
      <c r="E82" s="8"/>
      <c r="F82" s="8"/>
      <c r="G82" s="19" t="s">
        <v>15</v>
      </c>
      <c r="H82" s="8"/>
      <c r="I82" s="19" t="s">
        <v>292</v>
      </c>
      <c r="J82" s="19"/>
      <c r="K82" s="8"/>
      <c r="L82" s="8"/>
      <c r="M82" s="19" t="s">
        <v>262</v>
      </c>
      <c r="N82" s="8"/>
      <c r="O82" s="8"/>
    </row>
    <row r="83" spans="3:15" ht="13.5" customHeight="1" x14ac:dyDescent="0.4"/>
    <row r="84" spans="3:15" ht="13.5" customHeight="1" x14ac:dyDescent="0.4"/>
    <row r="85" spans="3:15" ht="13.5" customHeight="1" x14ac:dyDescent="0.4"/>
    <row r="86" spans="3:15" ht="13.5" customHeight="1" x14ac:dyDescent="0.4"/>
    <row r="87" spans="3:15" ht="13.5" customHeight="1" x14ac:dyDescent="0.4"/>
    <row r="88" spans="3:15" ht="13.5" customHeight="1" x14ac:dyDescent="0.4"/>
  </sheetData>
  <mergeCells count="18">
    <mergeCell ref="Q66:R66"/>
    <mergeCell ref="C69:H70"/>
    <mergeCell ref="L69:L70"/>
    <mergeCell ref="M69:M70"/>
    <mergeCell ref="C4:N4"/>
    <mergeCell ref="C5:M5"/>
    <mergeCell ref="C6:M6"/>
    <mergeCell ref="C7:M7"/>
    <mergeCell ref="C8:M8"/>
    <mergeCell ref="C14:E14"/>
    <mergeCell ref="M74:M75"/>
    <mergeCell ref="C16:E16"/>
    <mergeCell ref="G45:I45"/>
    <mergeCell ref="C71:H71"/>
    <mergeCell ref="C72:H72"/>
    <mergeCell ref="C73:H73"/>
    <mergeCell ref="C74:H75"/>
    <mergeCell ref="L74:L75"/>
  </mergeCells>
  <pageMargins left="0.2" right="0.2" top="0.75" bottom="0.75" header="0.3" footer="0.3"/>
  <pageSetup paperSize="9" scale="80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00731-D44F-4297-B944-3790B3F4914A}">
  <dimension ref="A2:O79"/>
  <sheetViews>
    <sheetView topLeftCell="A43" workbookViewId="0">
      <selection activeCell="F70" sqref="F70"/>
    </sheetView>
  </sheetViews>
  <sheetFormatPr defaultRowHeight="14.6" x14ac:dyDescent="0.4"/>
  <cols>
    <col min="1" max="1" width="2.3046875" customWidth="1"/>
    <col min="2" max="2" width="13.3046875" customWidth="1"/>
    <col min="3" max="3" width="4.84375" customWidth="1"/>
    <col min="4" max="4" width="12.3046875" customWidth="1"/>
    <col min="5" max="5" width="1.53515625" customWidth="1"/>
    <col min="6" max="6" width="19.84375" customWidth="1"/>
    <col min="7" max="7" width="22.3046875" customWidth="1"/>
    <col min="8" max="8" width="23.3046875" hidden="1" customWidth="1"/>
    <col min="9" max="9" width="13.69140625" customWidth="1"/>
    <col min="10" max="10" width="12.07421875" customWidth="1"/>
    <col min="11" max="12" width="12.3046875" customWidth="1"/>
    <col min="13" max="13" width="13.3046875" customWidth="1"/>
    <col min="15" max="15" width="10.07421875" bestFit="1" customWidth="1"/>
  </cols>
  <sheetData>
    <row r="2" spans="2:12" x14ac:dyDescent="0.4">
      <c r="B2" s="246" t="s">
        <v>329</v>
      </c>
    </row>
    <row r="3" spans="2:12" x14ac:dyDescent="0.4">
      <c r="B3" s="246"/>
    </row>
    <row r="4" spans="2:12" x14ac:dyDescent="0.4">
      <c r="B4" s="246"/>
    </row>
    <row r="5" spans="2:12" x14ac:dyDescent="0.4">
      <c r="B5" s="246"/>
    </row>
    <row r="6" spans="2:12" x14ac:dyDescent="0.4">
      <c r="B6" s="246"/>
    </row>
    <row r="7" spans="2:12" ht="14.15" customHeight="1" x14ac:dyDescent="0.4">
      <c r="B7" s="468" t="s">
        <v>0</v>
      </c>
      <c r="C7" s="468"/>
      <c r="D7" s="468"/>
      <c r="E7" s="468"/>
      <c r="F7" s="468"/>
      <c r="G7" s="468"/>
      <c r="H7" s="468"/>
      <c r="I7" s="468"/>
      <c r="J7" s="468"/>
      <c r="K7" s="468"/>
      <c r="L7" s="468"/>
    </row>
    <row r="8" spans="2:12" ht="14.15" customHeight="1" x14ac:dyDescent="0.4">
      <c r="B8" s="19"/>
      <c r="C8" s="19"/>
      <c r="D8" s="19"/>
      <c r="E8" s="19"/>
      <c r="F8" s="19"/>
      <c r="G8" s="19" t="s">
        <v>18</v>
      </c>
      <c r="H8" s="19"/>
      <c r="I8" s="19"/>
      <c r="J8" s="19"/>
      <c r="K8" s="19"/>
      <c r="L8" s="1"/>
    </row>
    <row r="9" spans="2:12" ht="14.15" customHeight="1" x14ac:dyDescent="0.4">
      <c r="B9" s="8"/>
      <c r="C9" s="8"/>
      <c r="D9" s="8"/>
      <c r="E9" s="8"/>
      <c r="F9" s="473" t="s">
        <v>546</v>
      </c>
      <c r="G9" s="473"/>
      <c r="H9" s="473"/>
      <c r="I9" s="473"/>
      <c r="J9" s="473"/>
      <c r="K9" s="8"/>
    </row>
    <row r="10" spans="2:12" ht="14.15" customHeight="1" thickBot="1" x14ac:dyDescent="0.45">
      <c r="B10" s="8"/>
      <c r="C10" s="8"/>
      <c r="D10" s="8"/>
      <c r="E10" s="8"/>
      <c r="F10" s="8"/>
      <c r="G10" s="8"/>
      <c r="H10" s="8"/>
      <c r="I10" s="8"/>
      <c r="J10" s="8"/>
      <c r="K10" s="8"/>
    </row>
    <row r="11" spans="2:12" ht="21.75" customHeight="1" x14ac:dyDescent="0.4">
      <c r="B11" s="308"/>
      <c r="C11" s="309"/>
      <c r="D11" s="310"/>
      <c r="E11" s="309"/>
      <c r="F11" s="311"/>
      <c r="G11" s="500" t="s">
        <v>304</v>
      </c>
      <c r="H11" s="500" t="s">
        <v>299</v>
      </c>
      <c r="I11" s="500" t="s">
        <v>293</v>
      </c>
      <c r="J11" s="502" t="s">
        <v>301</v>
      </c>
      <c r="K11" s="502"/>
      <c r="L11" s="500" t="s">
        <v>296</v>
      </c>
    </row>
    <row r="12" spans="2:12" ht="30" customHeight="1" thickBot="1" x14ac:dyDescent="0.45">
      <c r="B12" s="312" t="s">
        <v>5</v>
      </c>
      <c r="C12" s="313"/>
      <c r="D12" s="314" t="s">
        <v>309</v>
      </c>
      <c r="E12" s="313"/>
      <c r="F12" s="315" t="s">
        <v>1</v>
      </c>
      <c r="G12" s="501"/>
      <c r="H12" s="501"/>
      <c r="I12" s="501"/>
      <c r="J12" s="316" t="s">
        <v>302</v>
      </c>
      <c r="K12" s="317" t="s">
        <v>303</v>
      </c>
      <c r="L12" s="501"/>
    </row>
    <row r="13" spans="2:12" ht="16.2" customHeight="1" x14ac:dyDescent="0.4">
      <c r="B13" s="137" t="s">
        <v>547</v>
      </c>
      <c r="C13" s="19"/>
      <c r="D13" s="155"/>
      <c r="E13" s="19"/>
      <c r="F13" s="170"/>
      <c r="G13" s="110"/>
      <c r="H13" s="110"/>
      <c r="I13" s="157"/>
      <c r="J13" s="178"/>
      <c r="K13" s="183"/>
      <c r="L13" s="186"/>
    </row>
    <row r="14" spans="2:12" ht="16.2" customHeight="1" x14ac:dyDescent="0.4">
      <c r="B14" s="138" t="s">
        <v>140</v>
      </c>
      <c r="C14" s="139" t="s">
        <v>245</v>
      </c>
      <c r="D14" s="140">
        <v>2776</v>
      </c>
      <c r="E14" s="141"/>
      <c r="F14" s="171" t="s">
        <v>232</v>
      </c>
      <c r="G14" s="158">
        <v>100</v>
      </c>
      <c r="H14" s="158"/>
      <c r="I14" s="140"/>
      <c r="J14" s="114"/>
      <c r="K14" s="184" t="s">
        <v>245</v>
      </c>
      <c r="L14" s="163"/>
    </row>
    <row r="15" spans="2:12" ht="16.2" customHeight="1" x14ac:dyDescent="0.4">
      <c r="B15" s="138" t="s">
        <v>140</v>
      </c>
      <c r="C15" s="139"/>
      <c r="D15" s="140">
        <f>1+D14</f>
        <v>2777</v>
      </c>
      <c r="E15" s="141"/>
      <c r="F15" s="171" t="s">
        <v>548</v>
      </c>
      <c r="G15" s="158">
        <v>100</v>
      </c>
      <c r="H15" s="158"/>
      <c r="I15" s="140"/>
      <c r="J15" s="114"/>
      <c r="K15" s="184"/>
      <c r="L15" s="163"/>
    </row>
    <row r="16" spans="2:12" ht="16.2" customHeight="1" x14ac:dyDescent="0.4">
      <c r="B16" s="138" t="s">
        <v>140</v>
      </c>
      <c r="C16" s="139"/>
      <c r="D16" s="140">
        <f>1+D15</f>
        <v>2778</v>
      </c>
      <c r="E16" s="141"/>
      <c r="F16" s="171" t="s">
        <v>41</v>
      </c>
      <c r="G16" s="158">
        <v>100</v>
      </c>
      <c r="H16" s="158"/>
      <c r="I16" s="140"/>
      <c r="J16" s="114"/>
      <c r="K16" s="184"/>
      <c r="L16" s="163"/>
    </row>
    <row r="17" spans="2:13" ht="16.2" customHeight="1" x14ac:dyDescent="0.4">
      <c r="B17" s="138" t="s">
        <v>140</v>
      </c>
      <c r="C17" s="139"/>
      <c r="D17" s="140">
        <f>1+D16</f>
        <v>2779</v>
      </c>
      <c r="E17" s="141"/>
      <c r="F17" s="171" t="s">
        <v>33</v>
      </c>
      <c r="G17" s="158">
        <v>100</v>
      </c>
      <c r="H17" s="158"/>
      <c r="I17" s="140"/>
      <c r="J17" s="114"/>
      <c r="K17" s="184"/>
      <c r="L17" s="163"/>
    </row>
    <row r="18" spans="2:13" ht="16.2" customHeight="1" x14ac:dyDescent="0.4">
      <c r="B18" s="138" t="s">
        <v>140</v>
      </c>
      <c r="C18" s="139"/>
      <c r="D18" s="140">
        <f>1+D16</f>
        <v>2779</v>
      </c>
      <c r="E18" s="141"/>
      <c r="F18" s="171" t="s">
        <v>403</v>
      </c>
      <c r="G18" s="158">
        <v>100</v>
      </c>
      <c r="H18" s="158"/>
      <c r="I18" s="140"/>
      <c r="J18" s="114"/>
      <c r="K18" s="184"/>
      <c r="L18" s="163"/>
    </row>
    <row r="19" spans="2:13" ht="16.2" customHeight="1" x14ac:dyDescent="0.4">
      <c r="B19" s="138" t="s">
        <v>140</v>
      </c>
      <c r="C19" s="139"/>
      <c r="D19" s="346" t="s">
        <v>245</v>
      </c>
      <c r="E19" s="141"/>
      <c r="F19" s="344" t="s">
        <v>386</v>
      </c>
      <c r="G19" s="341">
        <v>200</v>
      </c>
      <c r="H19" s="158"/>
      <c r="I19" s="140"/>
      <c r="J19" s="114"/>
      <c r="K19" s="184"/>
      <c r="L19" s="163"/>
    </row>
    <row r="20" spans="2:13" ht="18" customHeight="1" x14ac:dyDescent="0.4">
      <c r="B20" s="154" t="s">
        <v>307</v>
      </c>
      <c r="D20" s="111"/>
      <c r="F20" s="109"/>
      <c r="G20" s="161">
        <f>SUM(G14:G19)</f>
        <v>700</v>
      </c>
      <c r="H20" s="161"/>
      <c r="I20" s="158">
        <f>G20-J20</f>
        <v>0</v>
      </c>
      <c r="J20" s="114">
        <v>700</v>
      </c>
      <c r="K20" s="185">
        <v>300</v>
      </c>
      <c r="L20" s="198">
        <f>J20+K20</f>
        <v>1000</v>
      </c>
    </row>
    <row r="21" spans="2:13" ht="16.2" customHeight="1" x14ac:dyDescent="0.4">
      <c r="B21" s="138">
        <v>13</v>
      </c>
      <c r="C21" s="141"/>
      <c r="D21" s="140">
        <v>2781</v>
      </c>
      <c r="E21" s="141"/>
      <c r="F21" s="172" t="s">
        <v>41</v>
      </c>
      <c r="G21" s="158">
        <v>200</v>
      </c>
      <c r="H21" s="159"/>
      <c r="I21" s="140"/>
      <c r="J21" s="114"/>
      <c r="K21" s="185"/>
      <c r="L21" s="166" t="s">
        <v>245</v>
      </c>
    </row>
    <row r="22" spans="2:13" ht="16.2" customHeight="1" x14ac:dyDescent="0.4">
      <c r="B22" s="138">
        <v>13</v>
      </c>
      <c r="C22" s="141"/>
      <c r="D22" s="140">
        <f>1+D21</f>
        <v>2782</v>
      </c>
      <c r="E22" s="141"/>
      <c r="F22" s="172" t="s">
        <v>345</v>
      </c>
      <c r="G22" s="275">
        <v>100</v>
      </c>
      <c r="H22" s="159"/>
      <c r="I22" s="140"/>
      <c r="J22" s="114"/>
      <c r="K22" s="185"/>
      <c r="L22" s="166"/>
    </row>
    <row r="23" spans="2:13" ht="16.2" customHeight="1" x14ac:dyDescent="0.4">
      <c r="B23" s="138">
        <v>13</v>
      </c>
      <c r="C23" s="141"/>
      <c r="D23" s="140">
        <f>1+D22</f>
        <v>2783</v>
      </c>
      <c r="E23" s="141"/>
      <c r="F23" s="172" t="s">
        <v>403</v>
      </c>
      <c r="G23" s="158">
        <v>100</v>
      </c>
      <c r="H23" s="159"/>
      <c r="I23" s="140"/>
      <c r="J23" s="114"/>
      <c r="K23" s="185"/>
      <c r="L23" s="166"/>
    </row>
    <row r="24" spans="2:13" ht="16.2" customHeight="1" x14ac:dyDescent="0.4">
      <c r="B24" s="138">
        <v>13</v>
      </c>
      <c r="C24" s="141"/>
      <c r="D24" s="140">
        <f>1+D23</f>
        <v>2784</v>
      </c>
      <c r="E24" s="141"/>
      <c r="F24" s="172" t="s">
        <v>149</v>
      </c>
      <c r="G24" s="348">
        <v>1500</v>
      </c>
      <c r="H24" s="159"/>
      <c r="I24" s="140"/>
      <c r="J24" s="114"/>
      <c r="K24" s="185"/>
      <c r="L24" s="166"/>
      <c r="M24" t="s">
        <v>598</v>
      </c>
    </row>
    <row r="25" spans="2:13" ht="16.2" customHeight="1" x14ac:dyDescent="0.4">
      <c r="B25" s="154" t="s">
        <v>307</v>
      </c>
      <c r="C25" s="141"/>
      <c r="D25" s="140"/>
      <c r="E25" s="141"/>
      <c r="F25" s="172"/>
      <c r="G25" s="289">
        <f>SUM(G21:G24)</f>
        <v>1900</v>
      </c>
      <c r="H25" s="159"/>
      <c r="I25" s="162">
        <f>G25-J25</f>
        <v>1500</v>
      </c>
      <c r="J25" s="114">
        <v>400</v>
      </c>
      <c r="K25" s="185">
        <v>600</v>
      </c>
      <c r="L25" s="198">
        <f>J25+K25</f>
        <v>1000</v>
      </c>
    </row>
    <row r="26" spans="2:13" ht="16.2" customHeight="1" x14ac:dyDescent="0.4">
      <c r="B26" s="138">
        <v>18</v>
      </c>
      <c r="C26" s="141"/>
      <c r="D26" s="140">
        <v>2785</v>
      </c>
      <c r="E26" s="141"/>
      <c r="F26" s="172" t="s">
        <v>41</v>
      </c>
      <c r="G26" s="275">
        <v>100</v>
      </c>
      <c r="H26" s="159"/>
      <c r="I26" s="140"/>
      <c r="J26" s="114"/>
      <c r="K26" s="185"/>
      <c r="L26" s="166"/>
    </row>
    <row r="27" spans="2:13" ht="16.2" customHeight="1" x14ac:dyDescent="0.4">
      <c r="B27" s="138">
        <v>18</v>
      </c>
      <c r="C27" s="141"/>
      <c r="D27" s="140">
        <f t="shared" ref="D27:D32" si="0">1+D26</f>
        <v>2786</v>
      </c>
      <c r="E27" s="141"/>
      <c r="F27" s="172" t="s">
        <v>41</v>
      </c>
      <c r="G27" s="275">
        <v>100</v>
      </c>
      <c r="H27" s="159"/>
      <c r="I27" s="140"/>
      <c r="J27" s="114"/>
      <c r="K27" s="185"/>
      <c r="L27" s="166"/>
    </row>
    <row r="28" spans="2:13" ht="16.2" customHeight="1" x14ac:dyDescent="0.4">
      <c r="B28" s="138">
        <v>18</v>
      </c>
      <c r="C28" s="141"/>
      <c r="D28" s="140">
        <f t="shared" si="0"/>
        <v>2787</v>
      </c>
      <c r="E28" s="141"/>
      <c r="F28" s="172" t="s">
        <v>178</v>
      </c>
      <c r="G28" s="341">
        <v>400</v>
      </c>
      <c r="H28" s="159"/>
      <c r="I28" s="140"/>
      <c r="J28" s="114"/>
      <c r="K28" s="185"/>
      <c r="L28" s="166"/>
    </row>
    <row r="29" spans="2:13" ht="16.2" customHeight="1" x14ac:dyDescent="0.4">
      <c r="B29" s="138">
        <v>18</v>
      </c>
      <c r="C29" s="141"/>
      <c r="D29" s="140">
        <f t="shared" si="0"/>
        <v>2788</v>
      </c>
      <c r="E29" s="141"/>
      <c r="F29" s="172" t="s">
        <v>549</v>
      </c>
      <c r="G29" s="341">
        <v>500</v>
      </c>
      <c r="H29" s="159"/>
      <c r="I29" s="140"/>
      <c r="J29" s="114"/>
      <c r="K29" s="185"/>
      <c r="L29" s="166"/>
    </row>
    <row r="30" spans="2:13" ht="16.2" customHeight="1" x14ac:dyDescent="0.4">
      <c r="B30" s="138">
        <v>18</v>
      </c>
      <c r="C30" s="141"/>
      <c r="D30" s="140">
        <f t="shared" si="0"/>
        <v>2789</v>
      </c>
      <c r="E30" s="141"/>
      <c r="F30" s="172" t="s">
        <v>402</v>
      </c>
      <c r="G30" s="342">
        <v>500</v>
      </c>
      <c r="H30" s="159"/>
      <c r="I30" s="140"/>
      <c r="J30" s="114"/>
      <c r="K30" s="185"/>
      <c r="L30" s="166"/>
      <c r="M30" t="s">
        <v>567</v>
      </c>
    </row>
    <row r="31" spans="2:13" ht="16.2" customHeight="1" x14ac:dyDescent="0.4">
      <c r="B31" s="138">
        <v>18</v>
      </c>
      <c r="C31" s="141"/>
      <c r="D31" s="140">
        <f t="shared" si="0"/>
        <v>2790</v>
      </c>
      <c r="E31" s="141"/>
      <c r="F31" s="172" t="s">
        <v>48</v>
      </c>
      <c r="G31" s="342">
        <v>500</v>
      </c>
      <c r="H31" s="159"/>
      <c r="I31" s="140"/>
      <c r="J31" s="114"/>
      <c r="K31" s="185"/>
      <c r="L31" s="166"/>
      <c r="M31" t="s">
        <v>568</v>
      </c>
    </row>
    <row r="32" spans="2:13" ht="16.2" customHeight="1" x14ac:dyDescent="0.4">
      <c r="B32" s="138">
        <v>18</v>
      </c>
      <c r="C32" s="141"/>
      <c r="D32" s="140">
        <f t="shared" si="0"/>
        <v>2791</v>
      </c>
      <c r="E32" s="141"/>
      <c r="F32" s="172" t="s">
        <v>294</v>
      </c>
      <c r="G32" s="342">
        <v>500</v>
      </c>
      <c r="H32" s="159"/>
      <c r="I32" s="140"/>
      <c r="J32" s="114"/>
      <c r="K32" s="185"/>
      <c r="L32" s="166"/>
      <c r="M32" t="s">
        <v>569</v>
      </c>
    </row>
    <row r="33" spans="2:13" ht="18" customHeight="1" x14ac:dyDescent="0.45">
      <c r="B33" s="154" t="s">
        <v>307</v>
      </c>
      <c r="D33" s="111"/>
      <c r="F33" s="298"/>
      <c r="G33" s="306">
        <f>SUM(G26:G32)</f>
        <v>2600</v>
      </c>
      <c r="H33" s="306"/>
      <c r="I33" s="162">
        <f>G33-J33</f>
        <v>1100</v>
      </c>
      <c r="J33" s="142">
        <v>1500</v>
      </c>
      <c r="K33" s="185">
        <v>0</v>
      </c>
      <c r="L33" s="198">
        <f>J33+K33</f>
        <v>1500</v>
      </c>
      <c r="M33" s="135"/>
    </row>
    <row r="34" spans="2:13" ht="16.2" customHeight="1" x14ac:dyDescent="0.4">
      <c r="B34" s="138">
        <v>19</v>
      </c>
      <c r="C34" s="141"/>
      <c r="D34" s="140">
        <v>2792</v>
      </c>
      <c r="E34" s="141"/>
      <c r="F34" s="172" t="s">
        <v>158</v>
      </c>
      <c r="G34" s="158">
        <v>200</v>
      </c>
      <c r="H34" s="159"/>
      <c r="I34" s="140"/>
      <c r="J34" s="179"/>
      <c r="K34" s="185"/>
      <c r="L34" s="199"/>
    </row>
    <row r="35" spans="2:13" ht="16.2" customHeight="1" x14ac:dyDescent="0.4">
      <c r="B35" s="138">
        <v>19</v>
      </c>
      <c r="C35" s="141"/>
      <c r="D35" s="140">
        <f>1+D34</f>
        <v>2793</v>
      </c>
      <c r="E35" s="141"/>
      <c r="F35" s="172" t="s">
        <v>41</v>
      </c>
      <c r="G35" s="275">
        <v>100</v>
      </c>
      <c r="H35" s="159"/>
      <c r="I35" s="162"/>
      <c r="J35" s="179"/>
      <c r="K35" s="185"/>
      <c r="L35" s="199"/>
    </row>
    <row r="36" spans="2:13" ht="16.2" customHeight="1" x14ac:dyDescent="0.4">
      <c r="B36" s="154" t="s">
        <v>307</v>
      </c>
      <c r="C36" s="141"/>
      <c r="D36" s="140"/>
      <c r="E36" s="141"/>
      <c r="F36" s="172"/>
      <c r="G36" s="334">
        <f>SUM(G34:G35)</f>
        <v>300</v>
      </c>
      <c r="H36" s="159"/>
      <c r="I36" s="162">
        <f>G36-J36</f>
        <v>300</v>
      </c>
      <c r="J36" s="179"/>
      <c r="K36" s="185"/>
      <c r="L36" s="199"/>
    </row>
    <row r="37" spans="2:13" ht="16.2" customHeight="1" x14ac:dyDescent="0.4">
      <c r="B37" s="138">
        <v>20</v>
      </c>
      <c r="C37" s="141"/>
      <c r="D37" s="140">
        <v>2794</v>
      </c>
      <c r="E37" s="141"/>
      <c r="F37" s="172" t="s">
        <v>550</v>
      </c>
      <c r="G37" s="275">
        <v>100</v>
      </c>
      <c r="H37" s="159"/>
      <c r="I37" s="140"/>
      <c r="J37" s="179"/>
      <c r="K37" s="185"/>
      <c r="L37" s="199"/>
    </row>
    <row r="38" spans="2:13" ht="16.2" customHeight="1" x14ac:dyDescent="0.4">
      <c r="B38" s="138">
        <v>20</v>
      </c>
      <c r="C38" s="141"/>
      <c r="D38" s="140">
        <f t="shared" ref="D38:D43" si="1">1+D37</f>
        <v>2795</v>
      </c>
      <c r="E38" s="141"/>
      <c r="F38" s="172" t="s">
        <v>551</v>
      </c>
      <c r="G38" s="275">
        <v>100</v>
      </c>
      <c r="H38" s="159"/>
      <c r="I38" s="140"/>
      <c r="J38" s="179"/>
      <c r="K38" s="185"/>
      <c r="L38" s="199"/>
    </row>
    <row r="39" spans="2:13" ht="16.2" customHeight="1" x14ac:dyDescent="0.4">
      <c r="B39" s="138">
        <v>20</v>
      </c>
      <c r="C39" s="141"/>
      <c r="D39" s="140">
        <f t="shared" si="1"/>
        <v>2796</v>
      </c>
      <c r="E39" s="141"/>
      <c r="F39" s="172" t="s">
        <v>552</v>
      </c>
      <c r="G39" s="275">
        <v>100</v>
      </c>
      <c r="H39" s="159"/>
      <c r="I39" s="140"/>
      <c r="J39" s="179"/>
      <c r="K39" s="185"/>
      <c r="L39" s="199"/>
    </row>
    <row r="40" spans="2:13" ht="16.2" customHeight="1" x14ac:dyDescent="0.4">
      <c r="B40" s="138">
        <v>20</v>
      </c>
      <c r="C40" s="141"/>
      <c r="D40" s="140">
        <f t="shared" si="1"/>
        <v>2797</v>
      </c>
      <c r="E40" s="141"/>
      <c r="F40" s="172" t="s">
        <v>33</v>
      </c>
      <c r="G40" s="275">
        <v>100</v>
      </c>
      <c r="H40" s="159"/>
      <c r="I40" s="140"/>
      <c r="J40" s="179"/>
      <c r="K40" s="185"/>
      <c r="L40" s="199"/>
    </row>
    <row r="41" spans="2:13" ht="16.2" customHeight="1" x14ac:dyDescent="0.4">
      <c r="B41" s="138">
        <v>20</v>
      </c>
      <c r="C41" s="141"/>
      <c r="D41" s="140">
        <f t="shared" si="1"/>
        <v>2798</v>
      </c>
      <c r="E41" s="141"/>
      <c r="F41" s="172" t="s">
        <v>553</v>
      </c>
      <c r="G41" s="275">
        <v>50</v>
      </c>
      <c r="H41" s="159"/>
      <c r="I41" s="140"/>
      <c r="J41" s="179"/>
      <c r="K41" s="185"/>
      <c r="L41" s="199"/>
    </row>
    <row r="42" spans="2:13" ht="16.2" customHeight="1" x14ac:dyDescent="0.4">
      <c r="B42" s="138">
        <v>20</v>
      </c>
      <c r="C42" s="141"/>
      <c r="D42" s="140">
        <f t="shared" si="1"/>
        <v>2799</v>
      </c>
      <c r="E42" s="141"/>
      <c r="F42" s="335" t="s">
        <v>554</v>
      </c>
      <c r="G42" s="275">
        <v>0</v>
      </c>
      <c r="H42" s="159"/>
      <c r="I42" s="140"/>
      <c r="J42" s="179"/>
      <c r="K42" s="185"/>
      <c r="L42" s="199"/>
    </row>
    <row r="43" spans="2:13" ht="16.2" customHeight="1" x14ac:dyDescent="0.4">
      <c r="B43" s="138">
        <v>20</v>
      </c>
      <c r="C43" s="141"/>
      <c r="D43" s="140">
        <f t="shared" si="1"/>
        <v>2800</v>
      </c>
      <c r="E43" s="141"/>
      <c r="F43" s="172" t="s">
        <v>121</v>
      </c>
      <c r="G43" s="348">
        <v>1500</v>
      </c>
      <c r="H43" s="159"/>
      <c r="I43" s="140"/>
      <c r="J43" s="142"/>
      <c r="K43" s="185"/>
      <c r="L43" s="199"/>
      <c r="M43" t="s">
        <v>597</v>
      </c>
    </row>
    <row r="44" spans="2:13" ht="16.2" customHeight="1" x14ac:dyDescent="0.4">
      <c r="B44" s="154" t="s">
        <v>307</v>
      </c>
      <c r="C44" s="141"/>
      <c r="D44" s="140"/>
      <c r="E44" s="141"/>
      <c r="F44" s="172"/>
      <c r="G44" s="334">
        <f>SUM(G37:G43)</f>
        <v>1950</v>
      </c>
      <c r="H44" s="159"/>
      <c r="I44" s="162">
        <f>G44-J44</f>
        <v>450</v>
      </c>
      <c r="J44" s="142">
        <v>1500</v>
      </c>
      <c r="K44" s="185"/>
      <c r="L44" s="198">
        <f>J44+K44</f>
        <v>1500</v>
      </c>
    </row>
    <row r="45" spans="2:13" ht="16.2" customHeight="1" x14ac:dyDescent="0.4">
      <c r="B45" s="138">
        <v>12</v>
      </c>
      <c r="C45" s="141"/>
      <c r="D45" s="140">
        <v>2801</v>
      </c>
      <c r="E45" s="141"/>
      <c r="F45" s="172" t="s">
        <v>434</v>
      </c>
      <c r="G45" s="275">
        <v>5000</v>
      </c>
      <c r="H45" s="159"/>
      <c r="I45" s="162"/>
      <c r="J45" s="142"/>
      <c r="K45" s="185"/>
      <c r="L45" s="198"/>
    </row>
    <row r="46" spans="2:13" ht="16.2" customHeight="1" x14ac:dyDescent="0.4">
      <c r="B46" s="138">
        <v>13</v>
      </c>
      <c r="C46" s="141"/>
      <c r="D46" s="140">
        <f t="shared" ref="D46:D51" si="2">1+D45</f>
        <v>2802</v>
      </c>
      <c r="E46" s="141"/>
      <c r="F46" s="347" t="s">
        <v>555</v>
      </c>
      <c r="G46" s="341">
        <v>4000</v>
      </c>
      <c r="H46" s="159"/>
      <c r="I46" s="162"/>
      <c r="J46" s="142"/>
      <c r="K46" s="185"/>
      <c r="L46" s="198"/>
    </row>
    <row r="47" spans="2:13" ht="16.2" customHeight="1" x14ac:dyDescent="0.4">
      <c r="B47" s="138">
        <v>14</v>
      </c>
      <c r="C47" s="141"/>
      <c r="D47" s="140">
        <f t="shared" si="2"/>
        <v>2803</v>
      </c>
      <c r="E47" s="141"/>
      <c r="F47" s="347" t="s">
        <v>106</v>
      </c>
      <c r="G47" s="341">
        <v>3000</v>
      </c>
      <c r="H47" s="159"/>
      <c r="I47" s="140"/>
      <c r="J47" s="142"/>
      <c r="K47" s="185"/>
      <c r="L47" s="199"/>
    </row>
    <row r="48" spans="2:13" ht="16.2" customHeight="1" x14ac:dyDescent="0.4">
      <c r="B48" s="138">
        <v>15</v>
      </c>
      <c r="C48" s="141"/>
      <c r="D48" s="140">
        <f t="shared" si="2"/>
        <v>2804</v>
      </c>
      <c r="E48" s="141"/>
      <c r="F48" s="347" t="s">
        <v>556</v>
      </c>
      <c r="G48" s="341">
        <v>1000</v>
      </c>
      <c r="H48" s="159"/>
      <c r="I48" s="140"/>
      <c r="J48" s="142"/>
      <c r="K48" s="185"/>
      <c r="L48" s="199"/>
    </row>
    <row r="49" spans="1:15" ht="16.2" customHeight="1" x14ac:dyDescent="0.4">
      <c r="B49" s="138">
        <v>17</v>
      </c>
      <c r="C49" s="141"/>
      <c r="D49" s="140">
        <f t="shared" si="2"/>
        <v>2805</v>
      </c>
      <c r="E49" s="141"/>
      <c r="F49" s="172" t="s">
        <v>14</v>
      </c>
      <c r="G49" s="275">
        <v>3000</v>
      </c>
      <c r="H49" s="159"/>
      <c r="I49" s="140"/>
      <c r="J49" s="142"/>
      <c r="K49" s="185"/>
      <c r="L49" s="199"/>
    </row>
    <row r="50" spans="1:15" ht="16.2" customHeight="1" x14ac:dyDescent="0.4">
      <c r="B50" s="138">
        <v>20</v>
      </c>
      <c r="C50" s="141"/>
      <c r="D50" s="140">
        <f t="shared" si="2"/>
        <v>2806</v>
      </c>
      <c r="E50" s="141"/>
      <c r="F50" s="172" t="s">
        <v>557</v>
      </c>
      <c r="G50" s="275">
        <v>5000</v>
      </c>
      <c r="H50" s="159"/>
      <c r="I50" s="140"/>
      <c r="J50" s="142"/>
      <c r="K50" s="185"/>
      <c r="L50" s="199"/>
    </row>
    <row r="51" spans="1:15" ht="16.2" customHeight="1" x14ac:dyDescent="0.4">
      <c r="B51" s="138">
        <v>25</v>
      </c>
      <c r="C51" s="141"/>
      <c r="D51" s="140">
        <f t="shared" si="2"/>
        <v>2807</v>
      </c>
      <c r="E51" s="141"/>
      <c r="F51" s="172" t="s">
        <v>558</v>
      </c>
      <c r="G51" s="275">
        <v>1000</v>
      </c>
      <c r="H51" s="159"/>
      <c r="I51" s="140"/>
      <c r="J51" s="142"/>
      <c r="K51" s="185"/>
      <c r="L51" s="199"/>
    </row>
    <row r="52" spans="1:15" ht="16.2" customHeight="1" x14ac:dyDescent="0.4">
      <c r="B52" s="138"/>
      <c r="C52" s="141"/>
      <c r="D52" s="140"/>
      <c r="E52" s="141"/>
      <c r="F52" s="360" t="s">
        <v>571</v>
      </c>
      <c r="G52" s="275">
        <f>19000-1000-600</f>
        <v>17400</v>
      </c>
      <c r="H52" s="159"/>
      <c r="I52" s="140"/>
      <c r="J52" s="142"/>
      <c r="K52" s="185"/>
      <c r="L52" s="199"/>
      <c r="M52" t="s">
        <v>650</v>
      </c>
      <c r="O52" s="387">
        <f>19000-1000-600</f>
        <v>17400</v>
      </c>
    </row>
    <row r="53" spans="1:15" ht="16.2" customHeight="1" thickBot="1" x14ac:dyDescent="0.45">
      <c r="B53" s="345" t="s">
        <v>307</v>
      </c>
      <c r="C53" s="141"/>
      <c r="D53" s="140"/>
      <c r="E53" s="141"/>
      <c r="F53" s="172"/>
      <c r="G53" s="334">
        <f>SUM(G45:G52)</f>
        <v>39400</v>
      </c>
      <c r="H53" s="159"/>
      <c r="I53" s="343">
        <f>G53-J53</f>
        <v>36400</v>
      </c>
      <c r="J53" s="142">
        <v>3000</v>
      </c>
      <c r="K53" s="185"/>
      <c r="L53" s="198">
        <f>J53+K53</f>
        <v>3000</v>
      </c>
      <c r="M53" t="s">
        <v>570</v>
      </c>
    </row>
    <row r="54" spans="1:15" ht="16.2" hidden="1" customHeight="1" thickBot="1" x14ac:dyDescent="0.45">
      <c r="A54" t="s">
        <v>245</v>
      </c>
      <c r="B54" s="345" t="s">
        <v>245</v>
      </c>
      <c r="C54" s="19"/>
      <c r="D54" s="157"/>
      <c r="E54" s="19"/>
      <c r="F54" s="17" t="s">
        <v>245</v>
      </c>
      <c r="G54" s="349">
        <v>0</v>
      </c>
      <c r="H54" s="350"/>
      <c r="I54" s="343">
        <f>G54-J54</f>
        <v>0</v>
      </c>
      <c r="J54" s="216"/>
      <c r="K54" s="351"/>
      <c r="L54" s="352"/>
    </row>
    <row r="55" spans="1:15" ht="22.2" customHeight="1" thickBot="1" x14ac:dyDescent="0.45">
      <c r="B55" s="318" t="s">
        <v>297</v>
      </c>
      <c r="C55" s="319"/>
      <c r="D55" s="320"/>
      <c r="E55" s="321"/>
      <c r="F55" s="319"/>
      <c r="G55" s="322">
        <f>G20+G25+G33+G36+G44+G53+G54</f>
        <v>46850</v>
      </c>
      <c r="H55" s="322"/>
      <c r="I55" s="322">
        <f>I20+I25+I33+I36+I44+I53+I54</f>
        <v>39750</v>
      </c>
      <c r="J55" s="322">
        <f>J20+J25+J33+J36+J44+J53+J54</f>
        <v>7100</v>
      </c>
      <c r="K55" s="322">
        <f>K20+K25+K33+K36+K44+K53+K54</f>
        <v>900</v>
      </c>
      <c r="L55" s="322">
        <f>L20+L25+L33+L36+L44+L53+L54</f>
        <v>8000</v>
      </c>
    </row>
    <row r="56" spans="1:15" ht="16.2" customHeight="1" x14ac:dyDescent="0.4">
      <c r="B56" s="9"/>
      <c r="C56" s="8"/>
      <c r="D56" s="19"/>
      <c r="E56" s="19"/>
      <c r="F56" s="8"/>
      <c r="G56" s="10"/>
      <c r="H56" s="10"/>
      <c r="I56" s="14"/>
      <c r="J56" s="14" t="s">
        <v>245</v>
      </c>
      <c r="K56" s="12"/>
      <c r="L56" s="15" t="s">
        <v>245</v>
      </c>
    </row>
    <row r="57" spans="1:15" ht="16.2" customHeight="1" x14ac:dyDescent="0.4">
      <c r="B57" s="9"/>
      <c r="C57" s="8"/>
      <c r="D57" s="19"/>
      <c r="E57" s="19"/>
      <c r="F57" s="8"/>
      <c r="G57" s="10"/>
      <c r="H57" s="10"/>
      <c r="I57" s="14"/>
      <c r="J57" s="14"/>
      <c r="K57" s="12"/>
      <c r="L57" s="15"/>
      <c r="M57" s="14">
        <f>41150-1600</f>
        <v>39550</v>
      </c>
    </row>
    <row r="58" spans="1:15" ht="16.2" customHeight="1" x14ac:dyDescent="0.4">
      <c r="B58" s="9"/>
      <c r="C58" s="8"/>
      <c r="D58" s="19"/>
      <c r="E58" s="19"/>
      <c r="F58" s="8"/>
      <c r="G58" s="10"/>
      <c r="H58" s="10"/>
      <c r="I58" s="14"/>
      <c r="J58" s="14"/>
      <c r="K58" s="12"/>
      <c r="L58" s="15"/>
      <c r="M58" s="14">
        <f>M55-39550</f>
        <v>-39550</v>
      </c>
    </row>
    <row r="59" spans="1:15" ht="14.15" customHeight="1" x14ac:dyDescent="0.4">
      <c r="B59" s="9"/>
      <c r="C59" s="8"/>
      <c r="D59" s="19"/>
      <c r="E59" s="19"/>
      <c r="F59" s="8"/>
      <c r="G59" s="10"/>
      <c r="H59" s="10"/>
      <c r="I59" s="40"/>
      <c r="J59" s="14"/>
      <c r="K59" s="12"/>
      <c r="L59" s="15"/>
      <c r="M59" s="40">
        <v>1150</v>
      </c>
    </row>
    <row r="60" spans="1:15" ht="14.15" customHeight="1" x14ac:dyDescent="0.4">
      <c r="B60" s="8"/>
      <c r="C60" s="8"/>
      <c r="D60" s="8" t="s">
        <v>245</v>
      </c>
      <c r="E60" s="8"/>
      <c r="F60" s="8"/>
      <c r="G60" s="8"/>
      <c r="H60" s="8"/>
      <c r="I60" s="41"/>
      <c r="J60" s="8"/>
      <c r="K60" s="8"/>
      <c r="M60" s="41">
        <v>11506.6</v>
      </c>
    </row>
    <row r="61" spans="1:15" ht="14.15" customHeight="1" x14ac:dyDescent="0.4">
      <c r="B61" s="8"/>
      <c r="C61" s="8"/>
      <c r="D61" s="19" t="s">
        <v>245</v>
      </c>
      <c r="E61" s="8"/>
      <c r="F61" s="19" t="s">
        <v>245</v>
      </c>
      <c r="G61" s="8"/>
      <c r="H61" s="8"/>
      <c r="I61" s="41"/>
      <c r="J61" s="8"/>
      <c r="K61" s="8"/>
      <c r="M61" s="43">
        <v>38.869999999999997</v>
      </c>
    </row>
    <row r="62" spans="1:15" ht="14.15" customHeight="1" x14ac:dyDescent="0.4">
      <c r="B62" s="8"/>
      <c r="C62" s="8"/>
      <c r="D62" s="8"/>
      <c r="E62" s="8"/>
      <c r="F62" s="19"/>
      <c r="G62" s="8"/>
      <c r="H62" s="8"/>
      <c r="I62" s="39"/>
      <c r="J62" s="8"/>
      <c r="K62" s="8"/>
      <c r="M62" s="39">
        <f>SUM(M59:M61)</f>
        <v>12695.470000000001</v>
      </c>
    </row>
    <row r="63" spans="1:15" ht="14.15" customHeight="1" x14ac:dyDescent="0.4">
      <c r="B63" s="8"/>
      <c r="C63" s="8"/>
      <c r="D63" s="8"/>
      <c r="E63" s="8"/>
      <c r="F63" s="19"/>
      <c r="G63" s="8"/>
      <c r="H63" s="8"/>
      <c r="I63" s="8"/>
      <c r="J63" s="8"/>
      <c r="K63" s="8"/>
    </row>
    <row r="64" spans="1:15" ht="14.15" customHeight="1" x14ac:dyDescent="0.4">
      <c r="B64" s="8"/>
      <c r="C64" s="8"/>
      <c r="D64" s="8"/>
      <c r="E64" s="8"/>
      <c r="F64" s="19"/>
      <c r="G64" s="8"/>
      <c r="H64" s="8"/>
      <c r="I64" s="8"/>
      <c r="J64" s="8"/>
      <c r="K64" s="8"/>
    </row>
    <row r="65" spans="2:13" ht="14.15" customHeight="1" x14ac:dyDescent="0.4">
      <c r="B65" s="267" t="s">
        <v>599</v>
      </c>
      <c r="C65" s="267"/>
      <c r="D65" s="267"/>
      <c r="E65" s="267"/>
      <c r="F65" s="19"/>
      <c r="G65" s="8"/>
      <c r="H65" s="8"/>
      <c r="I65" s="10"/>
      <c r="J65" s="8"/>
      <c r="K65" s="8"/>
      <c r="M65" s="10">
        <f>14295.47</f>
        <v>14295.47</v>
      </c>
    </row>
    <row r="66" spans="2:13" ht="14.15" customHeight="1" thickBot="1" x14ac:dyDescent="0.45">
      <c r="B66" s="19" t="s">
        <v>245</v>
      </c>
      <c r="C66" s="8"/>
      <c r="D66" s="8"/>
      <c r="E66" s="8"/>
      <c r="F66" s="19"/>
      <c r="G66" s="19"/>
      <c r="H66" s="19"/>
      <c r="I66" s="19"/>
      <c r="J66" s="19"/>
      <c r="K66" s="19"/>
      <c r="M66" s="19"/>
    </row>
    <row r="67" spans="2:13" ht="18" customHeight="1" thickBot="1" x14ac:dyDescent="0.45">
      <c r="B67" s="469" t="s">
        <v>311</v>
      </c>
      <c r="C67" s="470"/>
      <c r="D67" s="470"/>
      <c r="E67" s="471"/>
      <c r="F67" s="209" t="s">
        <v>123</v>
      </c>
      <c r="G67" s="19"/>
      <c r="H67" s="19"/>
      <c r="I67" s="357"/>
      <c r="J67" s="19"/>
      <c r="K67" s="19"/>
      <c r="M67" s="394">
        <f>M62-M65</f>
        <v>-1599.9999999999982</v>
      </c>
    </row>
    <row r="68" spans="2:13" ht="15" customHeight="1" thickBot="1" x14ac:dyDescent="0.45">
      <c r="B68" s="329" t="s">
        <v>67</v>
      </c>
      <c r="C68" s="330" t="s">
        <v>140</v>
      </c>
      <c r="D68" s="325" t="s">
        <v>245</v>
      </c>
      <c r="E68" s="325"/>
      <c r="F68" s="327">
        <v>1000</v>
      </c>
      <c r="G68" s="41"/>
      <c r="H68" s="41"/>
      <c r="I68" s="8"/>
      <c r="J68" s="201"/>
      <c r="K68" s="8"/>
    </row>
    <row r="69" spans="2:13" ht="15" customHeight="1" thickBot="1" x14ac:dyDescent="0.45">
      <c r="B69" s="329" t="s">
        <v>67</v>
      </c>
      <c r="C69" s="330">
        <v>13</v>
      </c>
      <c r="D69" s="325"/>
      <c r="E69" s="325"/>
      <c r="F69" s="327">
        <v>1000</v>
      </c>
      <c r="G69" s="41"/>
      <c r="H69" s="41"/>
      <c r="I69" s="8"/>
      <c r="J69" s="201"/>
      <c r="K69" s="8"/>
    </row>
    <row r="70" spans="2:13" ht="15" customHeight="1" thickBot="1" x14ac:dyDescent="0.45">
      <c r="B70" s="338" t="s">
        <v>67</v>
      </c>
      <c r="C70" s="339">
        <v>17</v>
      </c>
      <c r="D70" s="325"/>
      <c r="E70" s="325"/>
      <c r="F70" s="327">
        <v>1500</v>
      </c>
      <c r="G70" s="41"/>
      <c r="H70" s="41"/>
      <c r="I70" s="8"/>
      <c r="J70" s="201"/>
      <c r="K70" s="8"/>
    </row>
    <row r="71" spans="2:13" ht="15" customHeight="1" thickBot="1" x14ac:dyDescent="0.45">
      <c r="B71" s="338" t="s">
        <v>67</v>
      </c>
      <c r="C71" s="340">
        <v>18</v>
      </c>
      <c r="D71" s="326" t="s">
        <v>245</v>
      </c>
      <c r="E71" s="326"/>
      <c r="F71" s="328">
        <v>1500</v>
      </c>
      <c r="G71" s="10"/>
      <c r="H71" s="10"/>
      <c r="I71" s="10"/>
      <c r="J71" s="202"/>
      <c r="K71" s="10"/>
    </row>
    <row r="72" spans="2:13" ht="15" customHeight="1" thickBot="1" x14ac:dyDescent="0.45">
      <c r="B72" s="338" t="s">
        <v>67</v>
      </c>
      <c r="C72" s="340">
        <v>19</v>
      </c>
      <c r="D72" s="326" t="s">
        <v>245</v>
      </c>
      <c r="E72" s="326"/>
      <c r="F72" s="328">
        <v>1500</v>
      </c>
      <c r="G72" s="10"/>
      <c r="H72" s="10"/>
      <c r="I72" s="10"/>
      <c r="J72" s="201"/>
      <c r="K72" s="8"/>
    </row>
    <row r="73" spans="2:13" ht="15" customHeight="1" thickBot="1" x14ac:dyDescent="0.45">
      <c r="B73" s="331" t="s">
        <v>67</v>
      </c>
      <c r="C73" s="331">
        <v>20</v>
      </c>
      <c r="D73" s="326" t="s">
        <v>245</v>
      </c>
      <c r="E73" s="326"/>
      <c r="F73" s="328">
        <v>1500</v>
      </c>
      <c r="G73" s="10"/>
      <c r="H73" s="10"/>
      <c r="I73" s="10"/>
      <c r="J73" s="201"/>
      <c r="K73" s="10"/>
    </row>
    <row r="74" spans="2:13" ht="8.15" customHeight="1" x14ac:dyDescent="0.4">
      <c r="B74" s="210"/>
      <c r="C74" s="211"/>
      <c r="D74" s="212" t="s">
        <v>245</v>
      </c>
      <c r="E74" s="212"/>
      <c r="F74" s="213"/>
      <c r="G74" s="10"/>
      <c r="H74" s="10"/>
      <c r="I74" s="21"/>
      <c r="J74" s="201"/>
      <c r="K74" s="10"/>
    </row>
    <row r="75" spans="2:13" ht="14.15" customHeight="1" thickBot="1" x14ac:dyDescent="0.45">
      <c r="B75" s="466" t="s">
        <v>296</v>
      </c>
      <c r="C75" s="467"/>
      <c r="D75" s="467"/>
      <c r="E75" s="214"/>
      <c r="F75" s="215">
        <f>SUM(F68:F73)</f>
        <v>8000</v>
      </c>
      <c r="G75" s="10"/>
      <c r="H75" s="10"/>
      <c r="I75" s="21"/>
      <c r="J75" s="203"/>
      <c r="K75" s="10"/>
    </row>
    <row r="76" spans="2:13" ht="15.45" x14ac:dyDescent="0.4">
      <c r="B76" s="26"/>
      <c r="C76" s="8"/>
      <c r="D76" s="8"/>
      <c r="E76" s="8"/>
      <c r="F76" s="8"/>
      <c r="G76" s="10"/>
      <c r="H76" s="10"/>
      <c r="I76" s="27"/>
      <c r="J76" s="27"/>
      <c r="K76" s="10"/>
    </row>
    <row r="77" spans="2:13" ht="15.45" x14ac:dyDescent="0.4">
      <c r="B77" s="25"/>
      <c r="C77" s="8"/>
      <c r="D77" s="8"/>
      <c r="E77" s="8"/>
      <c r="F77" s="8"/>
      <c r="G77" s="41"/>
      <c r="H77" s="41"/>
      <c r="I77" s="21"/>
      <c r="J77" s="27"/>
      <c r="K77" s="10"/>
    </row>
    <row r="78" spans="2:13" ht="15.45" x14ac:dyDescent="0.4">
      <c r="B78" s="26"/>
      <c r="C78" s="8"/>
      <c r="D78" s="6"/>
      <c r="E78" s="6"/>
      <c r="F78" s="8"/>
      <c r="G78" s="10"/>
      <c r="H78" s="10"/>
      <c r="I78" s="10"/>
      <c r="J78" s="8"/>
      <c r="K78" s="10"/>
    </row>
    <row r="79" spans="2:13" ht="15.45" x14ac:dyDescent="0.4">
      <c r="F79" s="8"/>
      <c r="I79" s="27"/>
    </row>
  </sheetData>
  <mergeCells count="9">
    <mergeCell ref="B67:E67"/>
    <mergeCell ref="B75:D75"/>
    <mergeCell ref="B7:L7"/>
    <mergeCell ref="F9:J9"/>
    <mergeCell ref="G11:G12"/>
    <mergeCell ref="H11:H12"/>
    <mergeCell ref="I11:I12"/>
    <mergeCell ref="J11:K11"/>
    <mergeCell ref="L11:L12"/>
  </mergeCells>
  <pageMargins left="0.7" right="0.2" top="0.25" bottom="0.25" header="0.3" footer="0.3"/>
  <pageSetup paperSize="9" scale="70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8365F3-0529-4434-9624-1E862BE4EB72}">
  <dimension ref="A2:J90"/>
  <sheetViews>
    <sheetView workbookViewId="0">
      <selection activeCell="B17" sqref="B17"/>
    </sheetView>
  </sheetViews>
  <sheetFormatPr defaultRowHeight="14.6" x14ac:dyDescent="0.4"/>
  <cols>
    <col min="1" max="1" width="20.69140625" customWidth="1"/>
    <col min="2" max="2" width="12.69140625" customWidth="1"/>
    <col min="3" max="3" width="11.07421875" customWidth="1"/>
    <col min="4" max="4" width="11.69140625" customWidth="1"/>
    <col min="5" max="5" width="1.69140625" customWidth="1"/>
    <col min="6" max="6" width="12.3046875" bestFit="1" customWidth="1"/>
    <col min="7" max="7" width="1.53515625" customWidth="1"/>
    <col min="8" max="8" width="10.07421875" customWidth="1"/>
  </cols>
  <sheetData>
    <row r="2" spans="1:10" x14ac:dyDescent="0.4">
      <c r="A2" t="s">
        <v>600</v>
      </c>
    </row>
    <row r="3" spans="1:10" x14ac:dyDescent="0.4">
      <c r="A3" t="s">
        <v>601</v>
      </c>
      <c r="H3" s="2"/>
    </row>
    <row r="4" spans="1:10" x14ac:dyDescent="0.4">
      <c r="B4" s="361" t="s">
        <v>602</v>
      </c>
      <c r="D4" s="362" t="s">
        <v>123</v>
      </c>
      <c r="E4" s="1"/>
      <c r="F4" s="361" t="s">
        <v>603</v>
      </c>
      <c r="H4" s="363" t="s">
        <v>2</v>
      </c>
    </row>
    <row r="5" spans="1:10" x14ac:dyDescent="0.4">
      <c r="A5" t="s">
        <v>604</v>
      </c>
      <c r="B5" s="364" t="s">
        <v>154</v>
      </c>
      <c r="C5" s="364"/>
      <c r="D5" s="365">
        <v>1000</v>
      </c>
      <c r="E5" s="2"/>
    </row>
    <row r="6" spans="1:10" x14ac:dyDescent="0.4">
      <c r="A6" t="s">
        <v>605</v>
      </c>
      <c r="B6" s="364" t="s">
        <v>28</v>
      </c>
      <c r="C6" s="364"/>
      <c r="D6" s="365">
        <v>500</v>
      </c>
      <c r="E6" s="2"/>
    </row>
    <row r="7" spans="1:10" x14ac:dyDescent="0.4">
      <c r="A7" t="s">
        <v>204</v>
      </c>
      <c r="B7" s="364" t="s">
        <v>21</v>
      </c>
      <c r="C7" s="364"/>
      <c r="D7" s="365">
        <v>200</v>
      </c>
      <c r="E7" s="2"/>
      <c r="F7" s="1"/>
    </row>
    <row r="8" spans="1:10" x14ac:dyDescent="0.4">
      <c r="A8" t="s">
        <v>121</v>
      </c>
      <c r="B8" s="364" t="s">
        <v>25</v>
      </c>
      <c r="C8" s="2">
        <v>1500</v>
      </c>
      <c r="D8" s="2">
        <v>1500</v>
      </c>
      <c r="E8" s="2"/>
      <c r="F8" s="1">
        <v>2800</v>
      </c>
      <c r="H8" s="366">
        <v>1500</v>
      </c>
      <c r="I8" t="s">
        <v>606</v>
      </c>
      <c r="J8" s="7">
        <f>H8</f>
        <v>1500</v>
      </c>
    </row>
    <row r="9" spans="1:10" x14ac:dyDescent="0.4">
      <c r="A9" t="s">
        <v>607</v>
      </c>
      <c r="B9" s="364" t="s">
        <v>16</v>
      </c>
      <c r="C9" s="364"/>
      <c r="D9" s="365">
        <v>100</v>
      </c>
      <c r="E9" s="2"/>
      <c r="F9" s="1"/>
    </row>
    <row r="10" spans="1:10" x14ac:dyDescent="0.4">
      <c r="A10" t="s">
        <v>608</v>
      </c>
      <c r="B10" s="364" t="s">
        <v>29</v>
      </c>
      <c r="C10" s="2">
        <v>1000</v>
      </c>
      <c r="D10" s="2">
        <v>1000</v>
      </c>
      <c r="E10" s="2"/>
      <c r="F10" s="1">
        <v>2804</v>
      </c>
    </row>
    <row r="11" spans="1:10" x14ac:dyDescent="0.4">
      <c r="A11" t="s">
        <v>23</v>
      </c>
      <c r="B11" s="364" t="s">
        <v>68</v>
      </c>
      <c r="C11" s="2">
        <f>D11</f>
        <v>5000</v>
      </c>
      <c r="D11" s="2">
        <v>5000</v>
      </c>
      <c r="E11" s="2"/>
      <c r="F11" s="1">
        <v>2801</v>
      </c>
    </row>
    <row r="12" spans="1:10" x14ac:dyDescent="0.4">
      <c r="A12" t="s">
        <v>609</v>
      </c>
      <c r="B12" s="364">
        <v>11</v>
      </c>
      <c r="C12" s="364"/>
      <c r="D12" s="365">
        <v>200</v>
      </c>
      <c r="E12" s="2"/>
    </row>
    <row r="13" spans="1:10" x14ac:dyDescent="0.4">
      <c r="A13" t="s">
        <v>33</v>
      </c>
      <c r="B13" s="364">
        <v>12</v>
      </c>
      <c r="C13" s="364"/>
      <c r="D13" s="365">
        <v>500</v>
      </c>
      <c r="E13" s="2"/>
      <c r="F13" s="1" t="s">
        <v>245</v>
      </c>
    </row>
    <row r="14" spans="1:10" x14ac:dyDescent="0.4">
      <c r="A14" t="s">
        <v>149</v>
      </c>
      <c r="B14" s="364">
        <v>13</v>
      </c>
      <c r="C14" s="2">
        <f>D14</f>
        <v>1500</v>
      </c>
      <c r="D14" s="367">
        <v>1500</v>
      </c>
      <c r="E14" s="2"/>
      <c r="F14" s="32">
        <v>2784</v>
      </c>
      <c r="H14" s="367">
        <v>1500</v>
      </c>
      <c r="I14" t="s">
        <v>610</v>
      </c>
      <c r="J14" s="7">
        <f>H14</f>
        <v>1500</v>
      </c>
    </row>
    <row r="15" spans="1:10" x14ac:dyDescent="0.4">
      <c r="A15" t="s">
        <v>66</v>
      </c>
      <c r="B15" s="364">
        <v>14</v>
      </c>
      <c r="C15" s="2">
        <f>D15</f>
        <v>500</v>
      </c>
      <c r="D15" s="2">
        <v>500</v>
      </c>
      <c r="E15" s="2"/>
      <c r="F15" s="1">
        <v>2789</v>
      </c>
      <c r="H15" s="368">
        <v>0</v>
      </c>
    </row>
    <row r="16" spans="1:10" x14ac:dyDescent="0.4">
      <c r="A16" t="s">
        <v>611</v>
      </c>
      <c r="B16" s="364">
        <v>15</v>
      </c>
      <c r="C16" s="364"/>
      <c r="D16" s="365">
        <v>1000</v>
      </c>
      <c r="E16" s="2"/>
      <c r="F16" s="1"/>
    </row>
    <row r="17" spans="1:10" x14ac:dyDescent="0.4">
      <c r="A17" t="s">
        <v>232</v>
      </c>
      <c r="B17" s="364" t="s">
        <v>9</v>
      </c>
      <c r="C17" s="364"/>
      <c r="D17" s="365">
        <v>1000</v>
      </c>
      <c r="E17" s="2"/>
      <c r="F17" s="1"/>
    </row>
    <row r="18" spans="1:10" x14ac:dyDescent="0.4">
      <c r="A18" t="s">
        <v>157</v>
      </c>
      <c r="B18" s="1">
        <v>20</v>
      </c>
      <c r="C18" s="1"/>
      <c r="D18" s="365">
        <v>1000</v>
      </c>
      <c r="E18" s="2"/>
      <c r="F18" s="1"/>
    </row>
    <row r="19" spans="1:10" x14ac:dyDescent="0.4">
      <c r="A19" t="s">
        <v>155</v>
      </c>
      <c r="B19" s="1">
        <v>21</v>
      </c>
      <c r="C19" s="2">
        <f>D19</f>
        <v>500</v>
      </c>
      <c r="D19" s="2">
        <v>500</v>
      </c>
      <c r="E19" s="2"/>
      <c r="F19" s="1">
        <v>2791</v>
      </c>
      <c r="H19" s="369">
        <v>500</v>
      </c>
    </row>
    <row r="20" spans="1:10" x14ac:dyDescent="0.4">
      <c r="A20" t="s">
        <v>612</v>
      </c>
      <c r="B20" s="1">
        <v>22</v>
      </c>
      <c r="C20" s="1"/>
      <c r="D20" s="365">
        <v>250</v>
      </c>
      <c r="E20" s="2"/>
      <c r="F20" s="1"/>
      <c r="H20" s="370"/>
    </row>
    <row r="21" spans="1:10" x14ac:dyDescent="0.4">
      <c r="A21" t="s">
        <v>613</v>
      </c>
      <c r="B21" s="1">
        <v>23</v>
      </c>
      <c r="C21" s="1"/>
      <c r="D21" s="365">
        <v>200</v>
      </c>
      <c r="E21" s="2"/>
      <c r="F21" s="1"/>
      <c r="H21" s="370"/>
    </row>
    <row r="22" spans="1:10" x14ac:dyDescent="0.4">
      <c r="A22" t="s">
        <v>48</v>
      </c>
      <c r="B22" s="1">
        <v>24</v>
      </c>
      <c r="C22" s="2">
        <f>D22</f>
        <v>500</v>
      </c>
      <c r="D22" s="2">
        <v>500</v>
      </c>
      <c r="E22" s="2"/>
      <c r="F22" s="32">
        <v>2790</v>
      </c>
      <c r="H22" s="369">
        <v>0</v>
      </c>
    </row>
    <row r="23" spans="1:10" x14ac:dyDescent="0.4">
      <c r="A23" t="s">
        <v>614</v>
      </c>
      <c r="B23" s="1">
        <v>26</v>
      </c>
      <c r="C23" s="2">
        <f>D23</f>
        <v>1000</v>
      </c>
      <c r="D23" s="2">
        <v>1000</v>
      </c>
      <c r="E23" s="2"/>
      <c r="F23" s="371">
        <v>2790</v>
      </c>
      <c r="H23" s="370"/>
    </row>
    <row r="24" spans="1:10" x14ac:dyDescent="0.4">
      <c r="A24" t="s">
        <v>615</v>
      </c>
      <c r="B24" s="1">
        <v>29</v>
      </c>
      <c r="C24" s="1"/>
      <c r="D24" s="365">
        <v>150</v>
      </c>
      <c r="E24" s="2"/>
      <c r="F24" s="1"/>
      <c r="H24" s="370"/>
    </row>
    <row r="25" spans="1:10" x14ac:dyDescent="0.4">
      <c r="A25" t="s">
        <v>97</v>
      </c>
      <c r="B25" s="1">
        <v>31</v>
      </c>
      <c r="C25" s="1"/>
      <c r="D25" s="365">
        <v>500</v>
      </c>
      <c r="E25" s="2"/>
      <c r="F25" s="1"/>
      <c r="H25" s="370"/>
    </row>
    <row r="26" spans="1:10" x14ac:dyDescent="0.4">
      <c r="A26" t="s">
        <v>22</v>
      </c>
      <c r="B26" s="1">
        <v>32</v>
      </c>
      <c r="C26" s="1"/>
      <c r="D26" s="365">
        <v>200</v>
      </c>
      <c r="E26" s="2"/>
      <c r="F26" s="1"/>
      <c r="H26" s="370"/>
    </row>
    <row r="27" spans="1:10" x14ac:dyDescent="0.4">
      <c r="A27" t="s">
        <v>616</v>
      </c>
      <c r="B27" s="1">
        <v>33</v>
      </c>
      <c r="C27" s="1"/>
      <c r="D27" s="365">
        <v>300</v>
      </c>
      <c r="E27" s="2"/>
      <c r="F27" s="1"/>
      <c r="H27" s="370"/>
    </row>
    <row r="28" spans="1:10" x14ac:dyDescent="0.4">
      <c r="A28" t="s">
        <v>617</v>
      </c>
      <c r="B28" s="1">
        <v>34</v>
      </c>
      <c r="C28" s="1"/>
      <c r="D28" s="365">
        <v>500</v>
      </c>
      <c r="E28" s="2"/>
      <c r="F28" s="1"/>
      <c r="H28" s="370"/>
    </row>
    <row r="29" spans="1:10" x14ac:dyDescent="0.4">
      <c r="A29" t="s">
        <v>618</v>
      </c>
      <c r="B29" s="1">
        <v>37</v>
      </c>
      <c r="C29" s="1"/>
      <c r="D29" s="365">
        <v>500</v>
      </c>
      <c r="E29" s="2"/>
      <c r="F29" s="1"/>
      <c r="H29" s="370"/>
    </row>
    <row r="30" spans="1:10" x14ac:dyDescent="0.4">
      <c r="A30" t="s">
        <v>71</v>
      </c>
      <c r="B30" s="1">
        <v>40</v>
      </c>
      <c r="C30" s="1"/>
      <c r="D30" s="365">
        <v>3000</v>
      </c>
      <c r="E30" s="2"/>
      <c r="F30" s="1"/>
      <c r="H30" s="370"/>
    </row>
    <row r="31" spans="1:10" x14ac:dyDescent="0.4">
      <c r="A31" t="s">
        <v>171</v>
      </c>
      <c r="B31" s="1">
        <v>44</v>
      </c>
      <c r="C31" s="2">
        <f>D31</f>
        <v>5000</v>
      </c>
      <c r="D31" s="2">
        <v>5000</v>
      </c>
      <c r="E31" s="2"/>
      <c r="F31" s="1">
        <v>2806</v>
      </c>
      <c r="H31" s="370"/>
    </row>
    <row r="32" spans="1:10" x14ac:dyDescent="0.4">
      <c r="A32" t="s">
        <v>619</v>
      </c>
      <c r="B32" s="1">
        <v>46</v>
      </c>
      <c r="C32" s="2">
        <f>D32</f>
        <v>500</v>
      </c>
      <c r="D32" s="367">
        <v>500</v>
      </c>
      <c r="F32" s="1">
        <v>2788</v>
      </c>
      <c r="H32" s="367">
        <v>500</v>
      </c>
      <c r="I32" t="s">
        <v>620</v>
      </c>
      <c r="J32" s="372">
        <f>SUM(H19:H32)</f>
        <v>1000</v>
      </c>
    </row>
    <row r="33" spans="1:8" x14ac:dyDescent="0.4">
      <c r="A33" t="s">
        <v>621</v>
      </c>
      <c r="B33" s="1">
        <v>48</v>
      </c>
      <c r="C33" s="2">
        <f>D33</f>
        <v>1000</v>
      </c>
      <c r="D33" s="2">
        <v>1000</v>
      </c>
      <c r="F33" s="1">
        <v>2807</v>
      </c>
      <c r="H33" s="2"/>
    </row>
    <row r="34" spans="1:8" x14ac:dyDescent="0.4">
      <c r="A34" t="s">
        <v>158</v>
      </c>
      <c r="B34" s="1">
        <v>49</v>
      </c>
      <c r="C34" s="2">
        <f>D34</f>
        <v>1000</v>
      </c>
      <c r="D34" s="2">
        <v>1000</v>
      </c>
      <c r="E34" s="2"/>
      <c r="F34" s="1">
        <v>2787</v>
      </c>
    </row>
    <row r="35" spans="1:8" x14ac:dyDescent="0.4">
      <c r="A35" t="s">
        <v>17</v>
      </c>
      <c r="B35" s="1"/>
      <c r="C35" s="1"/>
      <c r="D35" s="365">
        <v>2000</v>
      </c>
      <c r="E35" s="2"/>
      <c r="F35" s="1"/>
    </row>
    <row r="36" spans="1:8" x14ac:dyDescent="0.4">
      <c r="A36" t="s">
        <v>622</v>
      </c>
      <c r="D36" s="373">
        <v>500</v>
      </c>
      <c r="F36" s="1"/>
    </row>
    <row r="37" spans="1:8" ht="15" thickBot="1" x14ac:dyDescent="0.45">
      <c r="D37" s="374">
        <f>SUM(D5:D36)</f>
        <v>32600</v>
      </c>
      <c r="F37" s="1"/>
      <c r="H37" s="375">
        <f>SUM(H5:H36)</f>
        <v>4000</v>
      </c>
    </row>
    <row r="38" spans="1:8" x14ac:dyDescent="0.4">
      <c r="D38" s="376">
        <f>D37-H37</f>
        <v>28600</v>
      </c>
      <c r="F38" s="1"/>
    </row>
    <row r="39" spans="1:8" x14ac:dyDescent="0.4">
      <c r="A39" t="s">
        <v>370</v>
      </c>
      <c r="C39" s="377">
        <f>SUM(C5:C34)</f>
        <v>19000</v>
      </c>
      <c r="D39" s="378">
        <f>D36+D35+SUM(D24:D30)+D21+D20+D18+D17+D16+D13+D12+D9+D7+D6+D5</f>
        <v>13600</v>
      </c>
      <c r="F39" s="1"/>
    </row>
    <row r="40" spans="1:8" x14ac:dyDescent="0.4">
      <c r="A40" t="s">
        <v>623</v>
      </c>
      <c r="D40" s="379">
        <f>C39</f>
        <v>19000</v>
      </c>
      <c r="F40" s="1"/>
    </row>
    <row r="41" spans="1:8" x14ac:dyDescent="0.4">
      <c r="A41" t="s">
        <v>624</v>
      </c>
      <c r="D41" s="380">
        <f>D40+D39</f>
        <v>32600</v>
      </c>
      <c r="F41" s="1"/>
    </row>
    <row r="42" spans="1:8" ht="15" thickBot="1" x14ac:dyDescent="0.45">
      <c r="A42" t="s">
        <v>2</v>
      </c>
      <c r="D42" s="381">
        <f>H37</f>
        <v>4000</v>
      </c>
      <c r="F42" s="1"/>
    </row>
    <row r="43" spans="1:8" ht="15" thickBot="1" x14ac:dyDescent="0.45">
      <c r="D43" s="382">
        <f>D41-D42</f>
        <v>28600</v>
      </c>
      <c r="F43" s="1"/>
    </row>
    <row r="44" spans="1:8" ht="15.9" thickTop="1" x14ac:dyDescent="0.4">
      <c r="A44" s="8"/>
      <c r="B44" s="8"/>
      <c r="C44" s="8"/>
      <c r="D44" s="8"/>
      <c r="E44" s="8"/>
      <c r="F44" s="19"/>
      <c r="G44" s="8"/>
      <c r="H44" s="8"/>
    </row>
    <row r="45" spans="1:8" ht="15.45" x14ac:dyDescent="0.4">
      <c r="A45" s="8" t="s">
        <v>625</v>
      </c>
      <c r="B45" s="19" t="s">
        <v>626</v>
      </c>
      <c r="C45" s="19"/>
      <c r="D45" s="20" t="s">
        <v>123</v>
      </c>
      <c r="E45" s="19"/>
      <c r="F45" s="19"/>
      <c r="G45" s="8"/>
      <c r="H45" s="8"/>
    </row>
    <row r="46" spans="1:8" ht="15.45" x14ac:dyDescent="0.4">
      <c r="A46" s="8"/>
      <c r="B46" s="8"/>
      <c r="C46" s="8"/>
      <c r="D46" s="10"/>
      <c r="E46" s="10"/>
      <c r="F46" s="21"/>
      <c r="G46" s="10"/>
      <c r="H46" s="8"/>
    </row>
    <row r="47" spans="1:8" ht="15.45" x14ac:dyDescent="0.4">
      <c r="A47" s="8" t="s">
        <v>43</v>
      </c>
      <c r="B47" s="1">
        <v>2802</v>
      </c>
      <c r="C47" s="10"/>
      <c r="D47" s="83">
        <v>4000</v>
      </c>
      <c r="E47" s="10"/>
      <c r="F47" s="1">
        <v>2802</v>
      </c>
      <c r="G47" s="10"/>
      <c r="H47" s="8"/>
    </row>
    <row r="48" spans="1:8" ht="15.45" x14ac:dyDescent="0.4">
      <c r="A48" s="8" t="s">
        <v>106</v>
      </c>
      <c r="B48" s="1">
        <v>2803</v>
      </c>
      <c r="C48" s="10"/>
      <c r="D48" s="83">
        <v>3000</v>
      </c>
      <c r="E48" s="10"/>
      <c r="F48" s="1">
        <v>2803</v>
      </c>
      <c r="G48" s="10"/>
      <c r="H48" s="8"/>
    </row>
    <row r="49" spans="1:8" ht="15.45" x14ac:dyDescent="0.4">
      <c r="A49" s="8" t="s">
        <v>14</v>
      </c>
      <c r="B49" s="1">
        <v>2805</v>
      </c>
      <c r="C49" s="10"/>
      <c r="D49" s="77">
        <v>3000</v>
      </c>
      <c r="E49" s="10"/>
      <c r="F49" s="1">
        <v>2805</v>
      </c>
      <c r="G49" s="10"/>
      <c r="H49" s="8"/>
    </row>
    <row r="50" spans="1:8" ht="15.45" x14ac:dyDescent="0.4">
      <c r="A50" s="8"/>
      <c r="B50" s="383"/>
      <c r="C50" s="10"/>
      <c r="D50" s="10">
        <v>10000</v>
      </c>
      <c r="E50" s="10"/>
      <c r="F50" s="10"/>
      <c r="G50" s="10"/>
      <c r="H50" s="8"/>
    </row>
    <row r="51" spans="1:8" ht="15.45" x14ac:dyDescent="0.4">
      <c r="A51" s="8"/>
      <c r="B51" s="10"/>
      <c r="C51" s="10"/>
      <c r="D51" s="10"/>
      <c r="E51" s="10"/>
      <c r="F51" s="10"/>
      <c r="G51" s="10"/>
      <c r="H51" s="8"/>
    </row>
    <row r="52" spans="1:8" ht="15.45" x14ac:dyDescent="0.4">
      <c r="A52" s="8" t="s">
        <v>627</v>
      </c>
      <c r="B52" s="10"/>
      <c r="C52" s="10"/>
      <c r="D52" s="384">
        <v>38600</v>
      </c>
      <c r="E52" s="10"/>
      <c r="F52" s="10"/>
      <c r="G52" s="10"/>
      <c r="H52" s="8"/>
    </row>
    <row r="53" spans="1:8" ht="15.45" x14ac:dyDescent="0.4">
      <c r="A53" s="8"/>
      <c r="B53" s="10"/>
      <c r="C53" s="10"/>
      <c r="D53" s="10"/>
      <c r="E53" s="10"/>
      <c r="F53" s="10"/>
      <c r="G53" s="10"/>
      <c r="H53" s="8"/>
    </row>
    <row r="54" spans="1:8" ht="15.45" x14ac:dyDescent="0.4">
      <c r="A54" s="8"/>
      <c r="B54" s="10"/>
      <c r="C54" s="10"/>
      <c r="D54" s="10"/>
      <c r="E54" s="10"/>
      <c r="F54" s="10"/>
      <c r="G54" s="10"/>
      <c r="H54" s="8"/>
    </row>
    <row r="55" spans="1:8" ht="15.45" x14ac:dyDescent="0.4">
      <c r="A55" s="8"/>
      <c r="B55" s="10"/>
      <c r="C55" s="10"/>
      <c r="D55" s="10"/>
      <c r="E55" s="10"/>
      <c r="F55" s="10"/>
      <c r="G55" s="10"/>
      <c r="H55" s="8"/>
    </row>
    <row r="56" spans="1:8" ht="15.45" x14ac:dyDescent="0.4">
      <c r="A56" s="8"/>
      <c r="B56" s="10"/>
      <c r="C56" s="10"/>
      <c r="D56" s="10"/>
      <c r="E56" s="10"/>
      <c r="F56" s="10"/>
      <c r="G56" s="10"/>
      <c r="H56" s="8"/>
    </row>
    <row r="57" spans="1:8" ht="15.45" x14ac:dyDescent="0.4">
      <c r="A57" s="8" t="s">
        <v>628</v>
      </c>
      <c r="B57" s="10"/>
      <c r="C57" s="10"/>
      <c r="D57" s="10"/>
      <c r="E57" s="10"/>
      <c r="F57" s="10"/>
      <c r="G57" s="10"/>
      <c r="H57" s="8"/>
    </row>
    <row r="58" spans="1:8" ht="15.45" x14ac:dyDescent="0.4">
      <c r="A58" s="8" t="s">
        <v>629</v>
      </c>
      <c r="B58" s="10"/>
      <c r="C58" s="10"/>
      <c r="D58" s="10">
        <v>30000</v>
      </c>
      <c r="E58" s="10"/>
      <c r="F58" s="10"/>
      <c r="G58" s="10"/>
      <c r="H58" s="8"/>
    </row>
    <row r="59" spans="1:8" ht="15.45" x14ac:dyDescent="0.4">
      <c r="A59" s="8" t="s">
        <v>630</v>
      </c>
      <c r="B59" s="10"/>
      <c r="C59" s="10"/>
      <c r="D59" s="10">
        <v>1000</v>
      </c>
      <c r="E59" s="10"/>
      <c r="F59" s="10"/>
      <c r="G59" s="10"/>
      <c r="H59" s="8"/>
    </row>
    <row r="60" spans="1:8" ht="15.45" x14ac:dyDescent="0.4">
      <c r="A60" s="8" t="s">
        <v>631</v>
      </c>
      <c r="B60" s="41"/>
      <c r="C60" s="41"/>
      <c r="D60" s="10">
        <v>4000</v>
      </c>
      <c r="E60" s="10"/>
      <c r="F60" s="10"/>
      <c r="G60" s="10"/>
      <c r="H60" s="8"/>
    </row>
    <row r="61" spans="1:8" ht="15.45" x14ac:dyDescent="0.4">
      <c r="A61" s="8" t="s">
        <v>632</v>
      </c>
      <c r="B61" s="44"/>
      <c r="C61" s="44"/>
      <c r="D61" s="10">
        <v>2000</v>
      </c>
      <c r="E61" s="10"/>
      <c r="F61" s="10"/>
      <c r="G61" s="10"/>
      <c r="H61" s="8"/>
    </row>
    <row r="62" spans="1:8" ht="15.45" x14ac:dyDescent="0.4">
      <c r="A62" s="8" t="s">
        <v>633</v>
      </c>
      <c r="B62" s="8"/>
      <c r="C62" s="8"/>
      <c r="D62" s="10">
        <v>1000</v>
      </c>
      <c r="E62" s="10"/>
      <c r="F62" s="10"/>
      <c r="G62" s="10"/>
      <c r="H62" s="8"/>
    </row>
    <row r="63" spans="1:8" ht="15.45" x14ac:dyDescent="0.4">
      <c r="A63" s="8" t="s">
        <v>634</v>
      </c>
      <c r="B63" s="8"/>
      <c r="C63" s="8"/>
      <c r="D63" s="43">
        <v>4000</v>
      </c>
      <c r="E63" s="10"/>
      <c r="F63" s="10">
        <f>SUM(D58:D63)</f>
        <v>42000</v>
      </c>
      <c r="G63" s="10"/>
      <c r="H63" s="8"/>
    </row>
    <row r="64" spans="1:8" ht="15.45" x14ac:dyDescent="0.4">
      <c r="A64" s="8"/>
      <c r="B64" s="8"/>
      <c r="C64" s="8"/>
      <c r="D64" s="10"/>
      <c r="E64" s="10"/>
      <c r="F64" s="10"/>
      <c r="G64" s="10"/>
      <c r="H64" s="8"/>
    </row>
    <row r="66" spans="1:8" ht="15.45" x14ac:dyDescent="0.4">
      <c r="A66" s="8" t="s">
        <v>635</v>
      </c>
    </row>
    <row r="67" spans="1:8" ht="15.45" x14ac:dyDescent="0.4">
      <c r="A67" s="8" t="s">
        <v>636</v>
      </c>
      <c r="D67" s="10">
        <v>640</v>
      </c>
    </row>
    <row r="68" spans="1:8" ht="15.45" x14ac:dyDescent="0.4">
      <c r="A68" s="8" t="s">
        <v>637</v>
      </c>
      <c r="D68" s="10">
        <v>205</v>
      </c>
    </row>
    <row r="69" spans="1:8" ht="15.45" x14ac:dyDescent="0.4">
      <c r="A69" s="8" t="s">
        <v>638</v>
      </c>
      <c r="D69" s="10">
        <v>160</v>
      </c>
    </row>
    <row r="70" spans="1:8" ht="15.45" x14ac:dyDescent="0.4">
      <c r="A70" s="8" t="s">
        <v>639</v>
      </c>
      <c r="D70" s="10">
        <v>202</v>
      </c>
    </row>
    <row r="71" spans="1:8" ht="15.45" x14ac:dyDescent="0.4">
      <c r="A71" s="8" t="s">
        <v>640</v>
      </c>
      <c r="D71" s="10">
        <v>643.15</v>
      </c>
    </row>
    <row r="72" spans="1:8" ht="15.45" x14ac:dyDescent="0.4">
      <c r="A72" s="8" t="s">
        <v>641</v>
      </c>
      <c r="D72" s="10">
        <v>1284</v>
      </c>
    </row>
    <row r="73" spans="1:8" ht="15.45" x14ac:dyDescent="0.4">
      <c r="A73" s="8" t="s">
        <v>642</v>
      </c>
      <c r="D73" s="10">
        <v>420</v>
      </c>
      <c r="F73" s="2"/>
    </row>
    <row r="74" spans="1:8" ht="15.9" x14ac:dyDescent="0.45">
      <c r="A74" s="8" t="s">
        <v>643</v>
      </c>
      <c r="D74" s="10">
        <v>1310</v>
      </c>
      <c r="E74" s="56"/>
      <c r="F74" s="4"/>
      <c r="G74" s="56"/>
      <c r="H74" s="56"/>
    </row>
    <row r="75" spans="1:8" ht="15.9" x14ac:dyDescent="0.45">
      <c r="A75" s="8" t="s">
        <v>644</v>
      </c>
      <c r="D75" s="43">
        <v>229.25</v>
      </c>
      <c r="E75" s="56"/>
      <c r="F75" s="385">
        <f>SUM(D67:D75)</f>
        <v>5093.3999999999996</v>
      </c>
      <c r="G75" s="56"/>
      <c r="H75" s="56"/>
    </row>
    <row r="76" spans="1:8" ht="15.9" x14ac:dyDescent="0.45">
      <c r="A76" s="8" t="s">
        <v>645</v>
      </c>
      <c r="D76" s="56"/>
      <c r="E76" s="56"/>
      <c r="F76" s="386">
        <v>47093.4</v>
      </c>
      <c r="G76" s="56"/>
      <c r="H76" s="56"/>
    </row>
    <row r="77" spans="1:8" x14ac:dyDescent="0.4">
      <c r="F77" s="2"/>
    </row>
    <row r="78" spans="1:8" ht="15.45" x14ac:dyDescent="0.4">
      <c r="A78" s="8" t="s">
        <v>646</v>
      </c>
      <c r="F78" s="10">
        <v>38600</v>
      </c>
    </row>
    <row r="79" spans="1:8" ht="15.45" x14ac:dyDescent="0.4">
      <c r="A79" s="8" t="s">
        <v>647</v>
      </c>
      <c r="F79" s="43">
        <v>20000</v>
      </c>
    </row>
    <row r="80" spans="1:8" ht="15.45" x14ac:dyDescent="0.4">
      <c r="A80" s="8"/>
      <c r="F80" s="41">
        <v>58600</v>
      </c>
    </row>
    <row r="81" spans="1:6" ht="15.45" x14ac:dyDescent="0.4">
      <c r="A81" s="8" t="s">
        <v>648</v>
      </c>
      <c r="F81" s="43">
        <v>-47093.4</v>
      </c>
    </row>
    <row r="82" spans="1:6" ht="15.45" x14ac:dyDescent="0.4">
      <c r="A82" s="8" t="s">
        <v>649</v>
      </c>
      <c r="F82" s="104">
        <f>SUM(F80:F81)</f>
        <v>11506.599999999999</v>
      </c>
    </row>
    <row r="83" spans="1:6" ht="15.45" x14ac:dyDescent="0.4">
      <c r="F83" s="8"/>
    </row>
    <row r="86" spans="1:6" ht="15.9" x14ac:dyDescent="0.45">
      <c r="A86" s="56"/>
      <c r="B86" s="56"/>
      <c r="C86" s="56"/>
      <c r="D86" s="56"/>
    </row>
    <row r="87" spans="1:6" ht="15.9" x14ac:dyDescent="0.45">
      <c r="A87" s="8" t="s">
        <v>13</v>
      </c>
      <c r="B87" s="8"/>
      <c r="C87" s="8"/>
      <c r="D87" s="8" t="s">
        <v>82</v>
      </c>
      <c r="E87" s="56"/>
      <c r="F87" s="56"/>
    </row>
    <row r="88" spans="1:6" ht="15.9" x14ac:dyDescent="0.45">
      <c r="A88" s="8"/>
      <c r="B88" s="8"/>
      <c r="C88" s="8"/>
      <c r="D88" s="8"/>
      <c r="E88" s="56"/>
      <c r="F88" s="56"/>
    </row>
    <row r="89" spans="1:6" ht="15.9" x14ac:dyDescent="0.45">
      <c r="A89" s="8" t="s">
        <v>17</v>
      </c>
      <c r="B89" s="8"/>
      <c r="C89" s="8"/>
      <c r="D89" s="8" t="s">
        <v>232</v>
      </c>
      <c r="E89" s="56"/>
      <c r="F89" s="56"/>
    </row>
    <row r="90" spans="1:6" ht="15.9" x14ac:dyDescent="0.45">
      <c r="A90" s="8"/>
      <c r="B90" s="8"/>
      <c r="C90" s="8"/>
      <c r="D90" s="8"/>
      <c r="E90" s="56"/>
      <c r="F90" s="56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A600FA-306E-4D20-8062-ADA3701378C0}">
  <dimension ref="B1:S88"/>
  <sheetViews>
    <sheetView topLeftCell="A43" workbookViewId="0">
      <selection activeCell="M38" sqref="M38"/>
    </sheetView>
  </sheetViews>
  <sheetFormatPr defaultRowHeight="14.6" x14ac:dyDescent="0.4"/>
  <cols>
    <col min="1" max="1" width="3.3046875" customWidth="1"/>
    <col min="2" max="2" width="1.3046875" customWidth="1"/>
    <col min="3" max="3" width="16.69140625" customWidth="1"/>
    <col min="4" max="4" width="0.53515625" customWidth="1"/>
    <col min="5" max="5" width="12.3046875" customWidth="1"/>
    <col min="6" max="6" width="1.4609375" customWidth="1"/>
    <col min="7" max="7" width="12" customWidth="1"/>
    <col min="8" max="8" width="19.07421875" customWidth="1"/>
    <col min="9" max="9" width="16.53515625" customWidth="1"/>
    <col min="10" max="10" width="19.4609375" customWidth="1"/>
    <col min="11" max="11" width="16.07421875" customWidth="1"/>
    <col min="12" max="12" width="3" customWidth="1"/>
    <col min="13" max="13" width="18.3046875" customWidth="1"/>
    <col min="14" max="14" width="1" customWidth="1"/>
    <col min="15" max="15" width="12.84375" customWidth="1"/>
    <col min="16" max="16" width="9.53515625" bestFit="1" customWidth="1"/>
    <col min="17" max="17" width="9.84375" customWidth="1"/>
  </cols>
  <sheetData>
    <row r="1" spans="3:16" ht="6" customHeight="1" x14ac:dyDescent="0.4"/>
    <row r="2" spans="3:16" ht="6" customHeight="1" x14ac:dyDescent="0.4"/>
    <row r="3" spans="3:16" ht="6" customHeight="1" x14ac:dyDescent="0.4"/>
    <row r="4" spans="3:16" ht="20.149999999999999" customHeight="1" x14ac:dyDescent="0.4">
      <c r="C4" s="476" t="s">
        <v>0</v>
      </c>
      <c r="D4" s="476"/>
      <c r="E4" s="476"/>
      <c r="F4" s="476"/>
      <c r="G4" s="476"/>
      <c r="H4" s="476"/>
      <c r="I4" s="476"/>
      <c r="J4" s="476"/>
      <c r="K4" s="476"/>
      <c r="L4" s="476"/>
      <c r="M4" s="476"/>
      <c r="N4" s="476"/>
    </row>
    <row r="5" spans="3:16" ht="20.149999999999999" customHeight="1" x14ac:dyDescent="0.45">
      <c r="C5" s="492" t="s">
        <v>333</v>
      </c>
      <c r="D5" s="492"/>
      <c r="E5" s="492"/>
      <c r="F5" s="492"/>
      <c r="G5" s="492"/>
      <c r="H5" s="492"/>
      <c r="I5" s="492"/>
      <c r="J5" s="492"/>
      <c r="K5" s="492"/>
      <c r="L5" s="492"/>
      <c r="M5" s="492"/>
      <c r="N5" s="243"/>
    </row>
    <row r="6" spans="3:16" ht="20.149999999999999" customHeight="1" x14ac:dyDescent="0.45">
      <c r="C6" s="492" t="s">
        <v>245</v>
      </c>
      <c r="D6" s="492"/>
      <c r="E6" s="492"/>
      <c r="F6" s="492"/>
      <c r="G6" s="492"/>
      <c r="H6" s="492"/>
      <c r="I6" s="492"/>
      <c r="J6" s="492"/>
      <c r="K6" s="492"/>
      <c r="L6" s="492"/>
      <c r="M6" s="492"/>
      <c r="N6" s="243"/>
    </row>
    <row r="7" spans="3:16" ht="20.149999999999999" customHeight="1" x14ac:dyDescent="0.45">
      <c r="C7" s="476" t="s">
        <v>318</v>
      </c>
      <c r="D7" s="476"/>
      <c r="E7" s="476"/>
      <c r="F7" s="476"/>
      <c r="G7" s="476"/>
      <c r="H7" s="476"/>
      <c r="I7" s="476"/>
      <c r="J7" s="476"/>
      <c r="K7" s="476"/>
      <c r="L7" s="476"/>
      <c r="M7" s="476"/>
      <c r="N7" s="243"/>
    </row>
    <row r="8" spans="3:16" ht="20.149999999999999" customHeight="1" x14ac:dyDescent="0.45">
      <c r="C8" s="476" t="s">
        <v>595</v>
      </c>
      <c r="D8" s="476"/>
      <c r="E8" s="476"/>
      <c r="F8" s="476"/>
      <c r="G8" s="476"/>
      <c r="H8" s="476"/>
      <c r="I8" s="476"/>
      <c r="J8" s="476"/>
      <c r="K8" s="476"/>
      <c r="L8" s="476"/>
      <c r="M8" s="476"/>
      <c r="N8" s="221"/>
    </row>
    <row r="9" spans="3:16" ht="15" customHeight="1" x14ac:dyDescent="0.4"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</row>
    <row r="10" spans="3:16" ht="15" customHeight="1" x14ac:dyDescent="0.45">
      <c r="C10" s="220" t="s">
        <v>653</v>
      </c>
      <c r="D10" s="221"/>
      <c r="E10" s="221"/>
      <c r="F10" s="221"/>
      <c r="G10" s="221"/>
      <c r="H10" s="221"/>
      <c r="I10" s="221"/>
      <c r="J10" s="221"/>
      <c r="K10" s="221"/>
      <c r="L10" s="247" t="s">
        <v>326</v>
      </c>
      <c r="M10" s="219">
        <f>'Oct-2024-FR'!M65</f>
        <v>12695.470000000001</v>
      </c>
      <c r="N10" s="8"/>
      <c r="O10" s="135">
        <v>11506.6</v>
      </c>
      <c r="P10" s="135">
        <f>O10-M10</f>
        <v>-1188.8700000000008</v>
      </c>
    </row>
    <row r="11" spans="3:16" ht="15" customHeight="1" x14ac:dyDescent="0.45">
      <c r="C11" s="221"/>
      <c r="D11" s="221"/>
      <c r="E11" s="221"/>
      <c r="F11" s="221"/>
      <c r="G11" s="221"/>
      <c r="H11" s="221"/>
      <c r="I11" s="221"/>
      <c r="J11" s="221"/>
      <c r="K11" s="221"/>
      <c r="L11" s="8"/>
      <c r="M11" s="8"/>
      <c r="N11" s="8"/>
    </row>
    <row r="12" spans="3:16" ht="15" customHeight="1" x14ac:dyDescent="0.45">
      <c r="C12" s="220" t="s">
        <v>654</v>
      </c>
      <c r="D12" s="220"/>
      <c r="E12" s="221"/>
      <c r="F12" s="221"/>
      <c r="G12" s="221"/>
      <c r="H12" s="221"/>
      <c r="I12" s="221"/>
      <c r="J12" s="221"/>
      <c r="K12" s="221"/>
      <c r="L12" s="8"/>
      <c r="M12" s="8"/>
      <c r="N12" s="8"/>
    </row>
    <row r="13" spans="3:16" ht="15" customHeight="1" x14ac:dyDescent="0.45">
      <c r="C13" s="221"/>
      <c r="D13" s="221"/>
      <c r="E13" s="221"/>
      <c r="F13" s="221"/>
      <c r="G13" s="221"/>
      <c r="H13" s="221"/>
      <c r="I13" s="226" t="s">
        <v>245</v>
      </c>
      <c r="J13" s="226"/>
      <c r="K13" s="226" t="s">
        <v>245</v>
      </c>
      <c r="L13" s="19"/>
      <c r="M13" s="8"/>
      <c r="N13" s="8"/>
    </row>
    <row r="14" spans="3:16" ht="15" customHeight="1" x14ac:dyDescent="0.45">
      <c r="C14" s="476" t="s">
        <v>305</v>
      </c>
      <c r="D14" s="476"/>
      <c r="E14" s="476"/>
      <c r="F14" s="221"/>
      <c r="G14" s="221" t="s">
        <v>320</v>
      </c>
      <c r="H14" s="221"/>
      <c r="I14" s="226"/>
      <c r="J14" s="226"/>
      <c r="K14" s="226"/>
      <c r="L14" s="19"/>
      <c r="M14" s="8"/>
      <c r="N14" s="8"/>
    </row>
    <row r="15" spans="3:16" ht="15" customHeight="1" x14ac:dyDescent="0.45">
      <c r="C15" s="238"/>
      <c r="D15" s="238"/>
      <c r="E15" s="238"/>
      <c r="F15" s="221"/>
      <c r="G15" s="221"/>
      <c r="H15" s="221"/>
      <c r="I15" s="226"/>
      <c r="J15" s="226"/>
      <c r="K15" s="226"/>
      <c r="L15" s="19"/>
      <c r="M15" s="8"/>
      <c r="N15" s="8"/>
    </row>
    <row r="16" spans="3:16" ht="15" customHeight="1" x14ac:dyDescent="0.45">
      <c r="C16" s="476" t="s">
        <v>245</v>
      </c>
      <c r="D16" s="476"/>
      <c r="E16" s="476"/>
      <c r="F16" s="221"/>
      <c r="G16" s="221"/>
      <c r="H16" s="239" t="s">
        <v>316</v>
      </c>
      <c r="I16" s="239" t="s">
        <v>2</v>
      </c>
      <c r="J16" s="239" t="s">
        <v>407</v>
      </c>
      <c r="K16" s="239" t="s">
        <v>306</v>
      </c>
      <c r="L16" s="19"/>
      <c r="M16" s="8"/>
      <c r="N16" s="8"/>
    </row>
    <row r="17" spans="3:16" ht="15" customHeight="1" x14ac:dyDescent="0.45">
      <c r="C17" s="221"/>
      <c r="D17" s="221"/>
      <c r="E17" s="226" t="s">
        <v>245</v>
      </c>
      <c r="F17" s="226"/>
      <c r="G17" s="240" t="s">
        <v>245</v>
      </c>
      <c r="H17" s="222" t="s">
        <v>245</v>
      </c>
      <c r="I17" s="241" t="s">
        <v>245</v>
      </c>
      <c r="J17" s="241"/>
      <c r="K17" s="230" t="s">
        <v>245</v>
      </c>
      <c r="L17" s="201"/>
      <c r="M17" s="8"/>
      <c r="N17" s="8"/>
    </row>
    <row r="18" spans="3:16" ht="20.149999999999999" customHeight="1" x14ac:dyDescent="0.45">
      <c r="C18" s="221"/>
      <c r="D18" s="221"/>
      <c r="E18" s="226" t="s">
        <v>590</v>
      </c>
      <c r="F18" s="226"/>
      <c r="G18" s="240" t="s">
        <v>7</v>
      </c>
      <c r="H18" s="222">
        <v>603</v>
      </c>
      <c r="I18" s="222">
        <v>0</v>
      </c>
      <c r="J18" s="222">
        <v>0</v>
      </c>
      <c r="K18" s="222">
        <f>H18-I18-J18</f>
        <v>603</v>
      </c>
      <c r="L18" s="216"/>
      <c r="M18" s="8"/>
      <c r="N18" s="8"/>
    </row>
    <row r="19" spans="3:16" ht="20.149999999999999" customHeight="1" x14ac:dyDescent="0.45">
      <c r="C19" s="221"/>
      <c r="D19" s="221"/>
      <c r="E19" s="226" t="s">
        <v>590</v>
      </c>
      <c r="F19" s="226"/>
      <c r="G19" s="240" t="s">
        <v>68</v>
      </c>
      <c r="H19" s="223">
        <v>1609</v>
      </c>
      <c r="I19" s="222">
        <v>450</v>
      </c>
      <c r="J19" s="222">
        <v>0</v>
      </c>
      <c r="K19" s="222">
        <f t="shared" ref="K19:K24" si="0">H19-I19</f>
        <v>1159</v>
      </c>
      <c r="L19" s="216"/>
      <c r="M19" s="8"/>
      <c r="N19" s="8"/>
      <c r="O19" s="272" t="s">
        <v>245</v>
      </c>
    </row>
    <row r="20" spans="3:16" ht="20.149999999999999" customHeight="1" x14ac:dyDescent="0.75">
      <c r="C20" s="221"/>
      <c r="D20" s="221"/>
      <c r="E20" s="226" t="s">
        <v>590</v>
      </c>
      <c r="F20" s="226"/>
      <c r="G20" s="240">
        <v>17</v>
      </c>
      <c r="H20" s="265">
        <v>833</v>
      </c>
      <c r="I20" s="266">
        <v>400</v>
      </c>
      <c r="J20" s="222">
        <v>0</v>
      </c>
      <c r="K20" s="266">
        <f t="shared" si="0"/>
        <v>433</v>
      </c>
      <c r="L20" s="216"/>
      <c r="M20" s="8"/>
      <c r="N20" s="8"/>
      <c r="O20" s="272"/>
    </row>
    <row r="21" spans="3:16" ht="20.149999999999999" hidden="1" customHeight="1" x14ac:dyDescent="0.45">
      <c r="C21" s="221"/>
      <c r="D21" s="221"/>
      <c r="E21" s="336" t="s">
        <v>67</v>
      </c>
      <c r="F21" s="226"/>
      <c r="G21" s="240">
        <v>18</v>
      </c>
      <c r="H21" s="337">
        <v>0</v>
      </c>
      <c r="I21" s="222">
        <v>0</v>
      </c>
      <c r="J21" s="222">
        <v>0</v>
      </c>
      <c r="K21" s="222">
        <f t="shared" si="0"/>
        <v>0</v>
      </c>
      <c r="L21" s="216"/>
      <c r="M21" s="8"/>
      <c r="N21" s="8"/>
      <c r="O21" s="272"/>
    </row>
    <row r="22" spans="3:16" ht="20.149999999999999" hidden="1" customHeight="1" x14ac:dyDescent="0.45">
      <c r="C22" s="221"/>
      <c r="D22" s="221"/>
      <c r="E22" s="336" t="s">
        <v>67</v>
      </c>
      <c r="F22" s="226"/>
      <c r="G22" s="240">
        <v>19</v>
      </c>
      <c r="H22" s="337">
        <v>0</v>
      </c>
      <c r="I22" s="222">
        <v>0</v>
      </c>
      <c r="J22" s="222">
        <v>0</v>
      </c>
      <c r="K22" s="222">
        <f t="shared" si="0"/>
        <v>0</v>
      </c>
      <c r="L22" s="216"/>
      <c r="M22" s="8"/>
      <c r="N22" s="8"/>
      <c r="O22" s="272"/>
    </row>
    <row r="23" spans="3:16" ht="20.149999999999999" hidden="1" customHeight="1" x14ac:dyDescent="0.45">
      <c r="C23" s="221"/>
      <c r="D23" s="221"/>
      <c r="E23" s="226" t="s">
        <v>67</v>
      </c>
      <c r="F23" s="226"/>
      <c r="G23" s="240">
        <v>20</v>
      </c>
      <c r="H23" s="223">
        <v>0</v>
      </c>
      <c r="I23" s="222">
        <v>0</v>
      </c>
      <c r="J23" s="222">
        <v>0</v>
      </c>
      <c r="K23" s="222">
        <f t="shared" si="0"/>
        <v>0</v>
      </c>
      <c r="L23" s="216"/>
      <c r="M23" s="8"/>
      <c r="N23" s="8"/>
    </row>
    <row r="24" spans="3:16" ht="20.149999999999999" hidden="1" customHeight="1" x14ac:dyDescent="0.75">
      <c r="C24" s="221"/>
      <c r="D24" s="221"/>
      <c r="E24" s="226" t="s">
        <v>67</v>
      </c>
      <c r="F24" s="226"/>
      <c r="G24" s="240">
        <v>27</v>
      </c>
      <c r="H24" s="265">
        <v>0</v>
      </c>
      <c r="I24" s="266">
        <v>0</v>
      </c>
      <c r="J24" s="266">
        <v>0</v>
      </c>
      <c r="K24" s="266">
        <f t="shared" si="0"/>
        <v>0</v>
      </c>
      <c r="L24" s="216"/>
      <c r="M24" s="44" t="s">
        <v>245</v>
      </c>
      <c r="N24" s="8"/>
      <c r="O24" t="s">
        <v>355</v>
      </c>
    </row>
    <row r="25" spans="3:16" ht="15" customHeight="1" x14ac:dyDescent="0.45">
      <c r="C25" s="221"/>
      <c r="D25" s="221"/>
      <c r="E25" s="226"/>
      <c r="F25" s="226"/>
      <c r="G25" s="240"/>
      <c r="H25" s="223"/>
      <c r="I25" s="222"/>
      <c r="J25" s="222"/>
      <c r="K25" s="222"/>
      <c r="L25" s="216"/>
      <c r="M25" s="44"/>
      <c r="N25" s="8"/>
    </row>
    <row r="26" spans="3:16" ht="15" customHeight="1" x14ac:dyDescent="0.45">
      <c r="C26" s="221"/>
      <c r="D26" s="221"/>
      <c r="E26" s="238" t="s">
        <v>65</v>
      </c>
      <c r="F26" s="221"/>
      <c r="G26" s="226"/>
      <c r="H26" s="288">
        <f>SUM(H18:H24)</f>
        <v>3045</v>
      </c>
      <c r="I26" s="288">
        <f>SUM(I18:I24)</f>
        <v>850</v>
      </c>
      <c r="J26" s="288">
        <f>SUM(J18:J24)</f>
        <v>0</v>
      </c>
      <c r="K26" s="248">
        <f>SUM(K18:K24)</f>
        <v>2195</v>
      </c>
      <c r="L26" s="218"/>
      <c r="M26" s="44" t="s">
        <v>245</v>
      </c>
      <c r="N26" s="8"/>
      <c r="O26" s="7">
        <f>H26-I26</f>
        <v>2195</v>
      </c>
      <c r="P26" s="135" t="s">
        <v>245</v>
      </c>
    </row>
    <row r="27" spans="3:16" ht="15" customHeight="1" x14ac:dyDescent="0.45">
      <c r="C27" s="221"/>
      <c r="D27" s="221"/>
      <c r="E27" s="221"/>
      <c r="F27" s="221"/>
      <c r="G27" s="226"/>
      <c r="H27" s="224"/>
      <c r="I27" s="222"/>
      <c r="J27" s="222"/>
      <c r="K27" s="222"/>
      <c r="L27" s="216"/>
      <c r="M27" s="44"/>
      <c r="N27" s="8"/>
    </row>
    <row r="28" spans="3:16" ht="15.75" customHeight="1" x14ac:dyDescent="0.45">
      <c r="C28" s="220" t="s">
        <v>245</v>
      </c>
      <c r="D28" s="221"/>
      <c r="E28" s="221"/>
      <c r="F28" s="221"/>
      <c r="G28" s="226"/>
      <c r="H28" s="224"/>
      <c r="I28" s="222"/>
      <c r="J28" s="222"/>
      <c r="K28" s="248" t="s">
        <v>245</v>
      </c>
      <c r="L28" s="216"/>
      <c r="M28" s="44"/>
      <c r="N28" s="8"/>
    </row>
    <row r="29" spans="3:16" ht="15" customHeight="1" x14ac:dyDescent="0.45">
      <c r="C29" s="221"/>
      <c r="D29" s="221"/>
      <c r="E29" s="221"/>
      <c r="F29" s="221"/>
      <c r="G29" s="226"/>
      <c r="H29" s="224"/>
      <c r="I29" s="222"/>
      <c r="J29" s="222"/>
      <c r="K29" s="222"/>
      <c r="L29" s="216"/>
      <c r="M29" s="44"/>
      <c r="N29" s="8"/>
    </row>
    <row r="30" spans="3:16" ht="15" customHeight="1" x14ac:dyDescent="0.45">
      <c r="C30" s="220" t="s">
        <v>675</v>
      </c>
      <c r="D30" s="220"/>
      <c r="E30" s="220"/>
      <c r="F30" s="220"/>
      <c r="G30" s="220"/>
      <c r="H30" s="220"/>
      <c r="I30" s="220"/>
      <c r="J30" s="297"/>
      <c r="K30" s="219" t="s">
        <v>245</v>
      </c>
      <c r="L30" s="219"/>
      <c r="M30" s="225" t="s">
        <v>245</v>
      </c>
      <c r="N30" s="8"/>
    </row>
    <row r="31" spans="3:16" ht="15" customHeight="1" x14ac:dyDescent="0.45">
      <c r="C31" s="220"/>
      <c r="D31" s="221"/>
      <c r="E31" s="221"/>
      <c r="F31" s="221"/>
      <c r="G31" s="221"/>
      <c r="H31" s="226"/>
      <c r="I31" s="230"/>
      <c r="J31" s="230"/>
      <c r="K31" s="219"/>
      <c r="L31" s="219"/>
      <c r="M31" s="225"/>
      <c r="N31" s="8"/>
    </row>
    <row r="32" spans="3:16" ht="22.95" customHeight="1" x14ac:dyDescent="0.45">
      <c r="C32" s="220"/>
      <c r="D32" s="221"/>
      <c r="E32" s="220" t="s">
        <v>674</v>
      </c>
      <c r="F32" s="220"/>
      <c r="G32" s="220"/>
      <c r="H32" s="220"/>
      <c r="I32" s="230"/>
      <c r="J32" s="230"/>
      <c r="K32" s="333">
        <f>'Nov-2024-Sched A'!I55</f>
        <v>1000</v>
      </c>
      <c r="L32" s="219"/>
      <c r="M32" s="393">
        <f>K32+K26</f>
        <v>3195</v>
      </c>
      <c r="N32" s="8"/>
      <c r="O32" s="304" t="s">
        <v>245</v>
      </c>
      <c r="P32" s="135" t="s">
        <v>245</v>
      </c>
    </row>
    <row r="33" spans="3:15" ht="15" customHeight="1" x14ac:dyDescent="0.75">
      <c r="C33" s="242"/>
      <c r="D33" s="236"/>
      <c r="E33" s="243"/>
      <c r="F33" s="236"/>
      <c r="G33" s="226"/>
      <c r="H33" s="226"/>
      <c r="I33" s="226"/>
      <c r="J33" s="226"/>
      <c r="K33" s="222"/>
      <c r="L33" s="222"/>
      <c r="M33" s="244"/>
      <c r="N33" s="8"/>
    </row>
    <row r="34" spans="3:15" ht="15" customHeight="1" x14ac:dyDescent="0.45">
      <c r="C34" s="220" t="s">
        <v>442</v>
      </c>
      <c r="D34" s="220"/>
      <c r="E34" s="221"/>
      <c r="F34" s="221"/>
      <c r="G34" s="221"/>
      <c r="H34" s="221"/>
      <c r="I34" s="221"/>
      <c r="J34" s="221"/>
      <c r="K34" s="221"/>
      <c r="L34" s="221"/>
      <c r="M34" s="353" t="s">
        <v>245</v>
      </c>
      <c r="N34" s="8"/>
    </row>
    <row r="35" spans="3:15" ht="18" hidden="1" customHeight="1" x14ac:dyDescent="0.45">
      <c r="C35" s="220"/>
      <c r="D35" s="220"/>
      <c r="E35" s="354">
        <v>39356</v>
      </c>
      <c r="F35" s="221"/>
      <c r="G35" s="221"/>
      <c r="H35" s="221"/>
      <c r="I35" s="221"/>
      <c r="J35" s="221"/>
      <c r="K35" s="355">
        <v>0</v>
      </c>
      <c r="L35" s="221"/>
      <c r="M35" s="353"/>
      <c r="N35" s="8"/>
    </row>
    <row r="36" spans="3:15" ht="18" hidden="1" customHeight="1" x14ac:dyDescent="0.45">
      <c r="C36" s="220"/>
      <c r="D36" s="220"/>
      <c r="E36" s="354">
        <v>43009</v>
      </c>
      <c r="F36" s="221"/>
      <c r="G36" s="221"/>
      <c r="H36" s="221"/>
      <c r="I36" s="221"/>
      <c r="J36" s="221"/>
      <c r="K36" s="356">
        <v>0</v>
      </c>
      <c r="L36" s="221"/>
      <c r="M36" s="300">
        <f>SUM(K35:K36)</f>
        <v>0</v>
      </c>
      <c r="N36" s="8"/>
    </row>
    <row r="37" spans="3:15" ht="15" customHeight="1" x14ac:dyDescent="0.75">
      <c r="C37" s="242"/>
      <c r="D37" s="236"/>
      <c r="E37" s="243"/>
      <c r="F37" s="236"/>
      <c r="G37" s="226"/>
      <c r="H37" s="226"/>
      <c r="I37" s="226"/>
      <c r="J37" s="226"/>
      <c r="K37" s="222"/>
      <c r="L37" s="222"/>
      <c r="M37" s="244"/>
      <c r="N37" s="8"/>
    </row>
    <row r="38" spans="3:15" ht="20.149999999999999" customHeight="1" x14ac:dyDescent="0.45">
      <c r="C38" s="220" t="s">
        <v>313</v>
      </c>
      <c r="D38" s="220"/>
      <c r="E38" s="221"/>
      <c r="F38" s="221"/>
      <c r="G38" s="221"/>
      <c r="H38" s="221"/>
      <c r="I38" s="221"/>
      <c r="J38" s="221"/>
      <c r="K38" s="221"/>
      <c r="L38" s="247" t="s">
        <v>326</v>
      </c>
      <c r="M38" s="219">
        <f>M32+M36+M10</f>
        <v>15890.470000000001</v>
      </c>
      <c r="N38" s="8"/>
      <c r="O38" t="s">
        <v>245</v>
      </c>
    </row>
    <row r="39" spans="3:15" ht="13.5" customHeight="1" x14ac:dyDescent="0.45">
      <c r="C39" s="220"/>
      <c r="D39" s="220"/>
      <c r="E39" s="221"/>
      <c r="F39" s="221"/>
      <c r="G39" s="221"/>
      <c r="H39" s="221"/>
      <c r="I39" s="221"/>
      <c r="J39" s="221"/>
      <c r="K39" s="221"/>
      <c r="L39" s="221"/>
      <c r="M39" s="221"/>
      <c r="N39" s="8"/>
    </row>
    <row r="40" spans="3:15" ht="13.5" customHeight="1" x14ac:dyDescent="0.45">
      <c r="C40" s="220"/>
      <c r="D40" s="220"/>
      <c r="E40" s="221"/>
      <c r="F40" s="221"/>
      <c r="G40" s="221"/>
      <c r="H40" s="221"/>
      <c r="I40" s="221"/>
      <c r="J40" s="221"/>
      <c r="K40" s="221"/>
      <c r="L40" s="221"/>
      <c r="M40" s="221"/>
      <c r="N40" s="8"/>
    </row>
    <row r="41" spans="3:15" ht="13.5" customHeight="1" x14ac:dyDescent="0.45">
      <c r="C41" s="220"/>
      <c r="D41" s="220"/>
      <c r="E41" s="221"/>
      <c r="F41" s="221"/>
      <c r="G41" s="221"/>
      <c r="H41" s="221"/>
      <c r="I41" s="221"/>
      <c r="J41" s="221"/>
      <c r="K41" s="221"/>
      <c r="L41" s="221"/>
      <c r="M41" s="221"/>
      <c r="N41" s="8"/>
    </row>
    <row r="42" spans="3:15" ht="13.5" customHeight="1" x14ac:dyDescent="0.45">
      <c r="C42" s="220"/>
      <c r="D42" s="220"/>
      <c r="E42" s="221"/>
      <c r="F42" s="221"/>
      <c r="G42" s="221"/>
      <c r="H42" s="221"/>
      <c r="I42" s="221"/>
      <c r="J42" s="221"/>
      <c r="K42" s="221"/>
      <c r="L42" s="221"/>
      <c r="M42" s="221"/>
      <c r="N42" s="8"/>
    </row>
    <row r="43" spans="3:15" ht="13.5" customHeight="1" x14ac:dyDescent="0.45">
      <c r="C43" s="220" t="s">
        <v>596</v>
      </c>
      <c r="D43" s="220"/>
      <c r="E43" s="221"/>
      <c r="F43" s="221"/>
      <c r="G43" s="221"/>
      <c r="H43" s="221"/>
      <c r="I43" s="221"/>
      <c r="J43" s="221"/>
      <c r="K43" s="221"/>
      <c r="L43" s="221"/>
      <c r="M43" s="221"/>
      <c r="N43" s="8"/>
    </row>
    <row r="44" spans="3:15" ht="15" customHeight="1" x14ac:dyDescent="0.45">
      <c r="C44" s="221" t="s">
        <v>245</v>
      </c>
      <c r="D44" s="221"/>
      <c r="E44" s="221" t="s">
        <v>245</v>
      </c>
      <c r="F44" s="221"/>
      <c r="G44" s="221"/>
      <c r="H44" s="221"/>
      <c r="I44" s="221"/>
      <c r="J44" s="221"/>
      <c r="K44" s="221"/>
      <c r="L44" s="221"/>
      <c r="M44" s="221"/>
      <c r="N44" s="8"/>
    </row>
    <row r="45" spans="3:15" ht="15" customHeight="1" x14ac:dyDescent="0.45">
      <c r="C45" s="239" t="s">
        <v>5</v>
      </c>
      <c r="D45" s="226"/>
      <c r="E45" s="226" t="s">
        <v>257</v>
      </c>
      <c r="F45" s="226"/>
      <c r="G45" s="487" t="s">
        <v>373</v>
      </c>
      <c r="H45" s="487"/>
      <c r="I45" s="487"/>
      <c r="J45" s="236"/>
      <c r="K45" s="236" t="s">
        <v>123</v>
      </c>
      <c r="L45" s="221"/>
      <c r="M45" s="226" t="s">
        <v>245</v>
      </c>
      <c r="N45" s="19"/>
    </row>
    <row r="46" spans="3:15" ht="15" customHeight="1" x14ac:dyDescent="0.45">
      <c r="C46" s="226"/>
      <c r="D46" s="226"/>
      <c r="E46" s="226"/>
      <c r="F46" s="226"/>
      <c r="G46" s="221"/>
      <c r="H46" s="221"/>
      <c r="I46" s="221"/>
      <c r="J46" s="221"/>
      <c r="K46" s="221"/>
      <c r="L46" s="221"/>
      <c r="M46" s="226"/>
      <c r="N46" s="19"/>
    </row>
    <row r="47" spans="3:15" ht="15" customHeight="1" x14ac:dyDescent="0.45">
      <c r="C47" s="292" t="s">
        <v>662</v>
      </c>
      <c r="D47" s="226"/>
      <c r="E47" s="226"/>
      <c r="F47" s="226"/>
      <c r="G47" s="228" t="s">
        <v>494</v>
      </c>
      <c r="H47" s="221"/>
      <c r="I47" s="221"/>
      <c r="J47" s="221"/>
      <c r="K47" s="222">
        <v>1000</v>
      </c>
      <c r="L47" s="221"/>
      <c r="M47" s="226"/>
      <c r="N47" s="19"/>
    </row>
    <row r="48" spans="3:15" ht="15" customHeight="1" x14ac:dyDescent="0.45">
      <c r="C48" s="292" t="s">
        <v>663</v>
      </c>
      <c r="D48" s="226"/>
      <c r="E48" s="226"/>
      <c r="F48" s="226"/>
      <c r="G48" s="228" t="s">
        <v>664</v>
      </c>
      <c r="H48" s="221"/>
      <c r="I48" s="221"/>
      <c r="J48" s="221"/>
      <c r="K48" s="222">
        <v>1000</v>
      </c>
      <c r="L48" s="221"/>
      <c r="M48" s="226"/>
      <c r="N48" s="19"/>
    </row>
    <row r="49" spans="3:14" ht="15" customHeight="1" x14ac:dyDescent="0.45">
      <c r="C49" s="292" t="s">
        <v>666</v>
      </c>
      <c r="D49" s="226"/>
      <c r="E49" s="226"/>
      <c r="F49" s="226"/>
      <c r="G49" s="228" t="s">
        <v>665</v>
      </c>
      <c r="H49" s="221"/>
      <c r="I49" s="221"/>
      <c r="J49" s="221"/>
      <c r="K49" s="222">
        <v>500</v>
      </c>
      <c r="L49" s="221"/>
      <c r="M49" s="226"/>
      <c r="N49" s="19"/>
    </row>
    <row r="50" spans="3:14" ht="15" customHeight="1" x14ac:dyDescent="0.45">
      <c r="C50" s="292" t="s">
        <v>667</v>
      </c>
      <c r="D50" s="226"/>
      <c r="E50" s="226"/>
      <c r="F50" s="226"/>
      <c r="G50" s="228" t="s">
        <v>668</v>
      </c>
      <c r="H50" s="221"/>
      <c r="I50" s="221"/>
      <c r="J50" s="221"/>
      <c r="K50" s="222">
        <v>693.1</v>
      </c>
      <c r="L50" s="221"/>
      <c r="M50" s="226"/>
      <c r="N50" s="19"/>
    </row>
    <row r="51" spans="3:14" ht="20.149999999999999" customHeight="1" x14ac:dyDescent="0.45">
      <c r="C51" s="292" t="s">
        <v>669</v>
      </c>
      <c r="D51" s="226"/>
      <c r="E51" s="226"/>
      <c r="F51" s="226"/>
      <c r="G51" s="228" t="s">
        <v>670</v>
      </c>
      <c r="H51" s="221"/>
      <c r="I51" s="221"/>
      <c r="J51" s="221"/>
      <c r="K51" s="222">
        <v>471.5</v>
      </c>
      <c r="L51" s="222"/>
      <c r="M51" s="222"/>
      <c r="N51" s="19"/>
    </row>
    <row r="52" spans="3:14" ht="15" customHeight="1" x14ac:dyDescent="0.45">
      <c r="C52" s="292" t="s">
        <v>669</v>
      </c>
      <c r="D52" s="226"/>
      <c r="E52" s="226"/>
      <c r="F52" s="226"/>
      <c r="G52" s="228" t="s">
        <v>432</v>
      </c>
      <c r="H52" s="221"/>
      <c r="I52" s="221"/>
      <c r="J52" s="221"/>
      <c r="K52" s="389">
        <v>141.5</v>
      </c>
      <c r="L52" s="221"/>
      <c r="M52" s="390">
        <f>SUM(K47:K52)</f>
        <v>3806.1</v>
      </c>
      <c r="N52" s="19"/>
    </row>
    <row r="53" spans="3:14" ht="20.149999999999999" hidden="1" customHeight="1" x14ac:dyDescent="0.45">
      <c r="C53" s="292" t="s">
        <v>669</v>
      </c>
      <c r="D53" s="226"/>
      <c r="E53" s="226"/>
      <c r="F53" s="226"/>
      <c r="G53" s="228" t="s">
        <v>576</v>
      </c>
      <c r="H53" s="221"/>
      <c r="I53" s="221"/>
      <c r="J53" s="221"/>
      <c r="K53" s="222">
        <v>0</v>
      </c>
      <c r="L53" s="222"/>
      <c r="M53" s="222"/>
      <c r="N53" s="19"/>
    </row>
    <row r="54" spans="3:14" ht="20.149999999999999" hidden="1" customHeight="1" x14ac:dyDescent="0.45">
      <c r="C54" s="292" t="s">
        <v>669</v>
      </c>
      <c r="D54" s="226"/>
      <c r="E54" s="226"/>
      <c r="F54" s="226"/>
      <c r="G54" s="228" t="s">
        <v>577</v>
      </c>
      <c r="H54" s="221"/>
      <c r="I54" s="221"/>
      <c r="J54" s="221"/>
      <c r="K54" s="222">
        <v>0</v>
      </c>
      <c r="L54" s="222"/>
      <c r="M54" s="222"/>
      <c r="N54" s="19"/>
    </row>
    <row r="55" spans="3:14" ht="20.149999999999999" hidden="1" customHeight="1" x14ac:dyDescent="0.75">
      <c r="C55" s="292" t="s">
        <v>669</v>
      </c>
      <c r="D55" s="226"/>
      <c r="E55" s="226"/>
      <c r="F55" s="226"/>
      <c r="G55" s="228" t="s">
        <v>245</v>
      </c>
      <c r="H55" s="221"/>
      <c r="I55" s="221"/>
      <c r="J55" s="221"/>
      <c r="K55" s="222">
        <v>0</v>
      </c>
      <c r="L55" s="222"/>
      <c r="M55" s="266">
        <v>0</v>
      </c>
      <c r="N55" s="19"/>
    </row>
    <row r="56" spans="3:14" ht="20.149999999999999" hidden="1" customHeight="1" x14ac:dyDescent="0.75">
      <c r="C56" s="292" t="s">
        <v>447</v>
      </c>
      <c r="D56" s="226"/>
      <c r="E56" s="226"/>
      <c r="F56" s="226"/>
      <c r="G56" s="228" t="s">
        <v>449</v>
      </c>
      <c r="H56" s="221"/>
      <c r="I56" s="221"/>
      <c r="J56" s="221"/>
      <c r="K56" s="222">
        <v>0</v>
      </c>
      <c r="L56" s="222"/>
      <c r="M56" s="266"/>
      <c r="N56" s="19"/>
    </row>
    <row r="57" spans="3:14" ht="20.149999999999999" hidden="1" customHeight="1" x14ac:dyDescent="0.75">
      <c r="C57" s="292" t="s">
        <v>450</v>
      </c>
      <c r="D57" s="226"/>
      <c r="E57" s="226"/>
      <c r="F57" s="226"/>
      <c r="G57" s="228" t="s">
        <v>451</v>
      </c>
      <c r="H57" s="221"/>
      <c r="I57" s="221"/>
      <c r="J57" s="221"/>
      <c r="K57" s="222">
        <v>0</v>
      </c>
      <c r="L57" s="222"/>
      <c r="M57" s="266"/>
      <c r="N57" s="19"/>
    </row>
    <row r="58" spans="3:14" ht="20.149999999999999" hidden="1" customHeight="1" x14ac:dyDescent="0.75">
      <c r="C58" s="292" t="s">
        <v>452</v>
      </c>
      <c r="D58" s="226"/>
      <c r="E58" s="226"/>
      <c r="F58" s="226"/>
      <c r="G58" s="228" t="s">
        <v>432</v>
      </c>
      <c r="H58" s="221"/>
      <c r="I58" s="221"/>
      <c r="J58" s="221"/>
      <c r="K58" s="222">
        <v>0</v>
      </c>
      <c r="L58" s="222"/>
      <c r="M58" s="266"/>
      <c r="N58" s="19"/>
    </row>
    <row r="59" spans="3:14" ht="20.149999999999999" hidden="1" customHeight="1" x14ac:dyDescent="0.85">
      <c r="C59" s="292" t="s">
        <v>453</v>
      </c>
      <c r="D59" s="226"/>
      <c r="E59" s="226"/>
      <c r="F59" s="226"/>
      <c r="G59" s="228" t="s">
        <v>454</v>
      </c>
      <c r="H59" s="221"/>
      <c r="I59" s="221"/>
      <c r="J59" s="221"/>
      <c r="K59" s="266">
        <v>0</v>
      </c>
      <c r="L59" s="222"/>
      <c r="M59" s="301">
        <f>SUM(K53:K59)</f>
        <v>0</v>
      </c>
      <c r="N59" s="19"/>
    </row>
    <row r="60" spans="3:14" ht="15" customHeight="1" x14ac:dyDescent="0.45">
      <c r="C60" s="227"/>
      <c r="D60" s="227"/>
      <c r="E60" s="229"/>
      <c r="F60" s="229"/>
      <c r="G60" s="228"/>
      <c r="H60" s="221"/>
      <c r="I60" s="221"/>
      <c r="J60" s="221"/>
      <c r="K60" s="230"/>
      <c r="L60" s="230"/>
      <c r="M60" s="230"/>
      <c r="N60" s="201"/>
    </row>
    <row r="61" spans="3:14" ht="20.149999999999999" customHeight="1" x14ac:dyDescent="0.45">
      <c r="C61" s="220" t="s">
        <v>327</v>
      </c>
      <c r="D61" s="220"/>
      <c r="E61" s="221"/>
      <c r="F61" s="221"/>
      <c r="G61" s="221"/>
      <c r="H61" s="221"/>
      <c r="I61" s="221"/>
      <c r="J61" s="221"/>
      <c r="K61" s="221"/>
      <c r="L61" s="221"/>
      <c r="M61" s="231">
        <f>M38-M52</f>
        <v>12084.37</v>
      </c>
      <c r="N61" s="44"/>
    </row>
    <row r="62" spans="3:14" ht="13.5" customHeight="1" x14ac:dyDescent="0.45">
      <c r="C62" s="221"/>
      <c r="D62" s="221"/>
      <c r="E62" s="221"/>
      <c r="F62" s="221"/>
      <c r="G62" s="221"/>
      <c r="H62" s="221"/>
      <c r="I62" s="221"/>
      <c r="J62" s="221"/>
      <c r="K62" s="221"/>
      <c r="L62" s="221"/>
      <c r="M62" s="225"/>
      <c r="N62" s="44"/>
    </row>
    <row r="63" spans="3:14" ht="20.149999999999999" customHeight="1" x14ac:dyDescent="0.85">
      <c r="C63" s="220" t="s">
        <v>673</v>
      </c>
      <c r="D63" s="221"/>
      <c r="E63" s="221"/>
      <c r="F63" s="221"/>
      <c r="G63" s="221"/>
      <c r="H63" s="221"/>
      <c r="I63" s="221"/>
      <c r="J63" s="221"/>
      <c r="K63" s="221"/>
      <c r="L63" s="221"/>
      <c r="M63" s="264">
        <v>11506.6</v>
      </c>
      <c r="N63" s="44"/>
    </row>
    <row r="64" spans="3:14" ht="13.5" customHeight="1" x14ac:dyDescent="0.45">
      <c r="C64" s="221"/>
      <c r="D64" s="221"/>
      <c r="E64" s="221"/>
      <c r="F64" s="221"/>
      <c r="G64" s="221"/>
      <c r="H64" s="221"/>
      <c r="I64" s="221"/>
      <c r="J64" s="221"/>
      <c r="K64" s="221"/>
      <c r="L64" s="221"/>
      <c r="M64" s="225"/>
      <c r="N64" s="44"/>
    </row>
    <row r="65" spans="2:19" ht="24.45" customHeight="1" thickBot="1" x14ac:dyDescent="0.5">
      <c r="C65" s="220" t="s">
        <v>655</v>
      </c>
      <c r="D65" s="221"/>
      <c r="E65" s="221"/>
      <c r="F65" s="221"/>
      <c r="G65" s="221"/>
      <c r="H65" s="221"/>
      <c r="I65" s="221"/>
      <c r="J65" s="221"/>
      <c r="K65" s="221"/>
      <c r="L65" s="245" t="s">
        <v>326</v>
      </c>
      <c r="M65" s="232">
        <f>M61-M63</f>
        <v>577.77000000000044</v>
      </c>
      <c r="N65" s="8"/>
      <c r="O65" s="2" t="s">
        <v>245</v>
      </c>
      <c r="P65" s="135"/>
      <c r="Q65" s="135"/>
      <c r="R65" s="135"/>
      <c r="S65" s="135"/>
    </row>
    <row r="66" spans="2:19" ht="13.5" customHeight="1" thickTop="1" x14ac:dyDescent="0.45">
      <c r="C66" s="221"/>
      <c r="D66" s="221"/>
      <c r="E66" s="220"/>
      <c r="F66" s="220"/>
      <c r="G66" s="221"/>
      <c r="H66" s="221"/>
      <c r="I66" s="221"/>
      <c r="J66" s="221"/>
      <c r="K66" s="221"/>
      <c r="L66" s="221"/>
      <c r="M66" s="221"/>
      <c r="N66" s="8"/>
      <c r="O66" s="135"/>
      <c r="P66" s="474"/>
      <c r="Q66" s="474"/>
    </row>
    <row r="67" spans="2:19" ht="13.5" customHeight="1" x14ac:dyDescent="0.45">
      <c r="C67" s="221"/>
      <c r="D67" s="221"/>
      <c r="E67" s="220"/>
      <c r="F67" s="220"/>
      <c r="G67" s="221"/>
      <c r="H67" s="221"/>
      <c r="I67" s="221"/>
      <c r="J67" s="221"/>
      <c r="K67" s="221"/>
      <c r="L67" s="221"/>
      <c r="M67" s="221"/>
      <c r="N67" s="8"/>
      <c r="O67" s="270"/>
    </row>
    <row r="68" spans="2:19" ht="13.5" customHeight="1" thickBot="1" x14ac:dyDescent="0.45">
      <c r="C68" s="8"/>
      <c r="D68" s="8"/>
      <c r="E68" s="13"/>
      <c r="F68" s="13"/>
      <c r="G68" s="8"/>
      <c r="H68" s="8"/>
      <c r="I68" s="8"/>
      <c r="J68" s="8"/>
      <c r="K68" s="8"/>
      <c r="L68" s="8"/>
      <c r="M68" s="8"/>
      <c r="N68" s="8"/>
    </row>
    <row r="69" spans="2:19" ht="13.5" customHeight="1" x14ac:dyDescent="0.45">
      <c r="B69" s="251"/>
      <c r="C69" s="493" t="s">
        <v>564</v>
      </c>
      <c r="D69" s="493"/>
      <c r="E69" s="493"/>
      <c r="F69" s="493"/>
      <c r="G69" s="493"/>
      <c r="H69" s="493"/>
      <c r="I69" s="252"/>
      <c r="J69" s="252"/>
      <c r="K69" s="252"/>
      <c r="L69" s="483" t="s">
        <v>326</v>
      </c>
      <c r="M69" s="479">
        <v>41426.240000000005</v>
      </c>
      <c r="N69" s="253"/>
    </row>
    <row r="70" spans="2:19" ht="11.15" customHeight="1" x14ac:dyDescent="0.4">
      <c r="B70" s="254"/>
      <c r="C70" s="494"/>
      <c r="D70" s="494"/>
      <c r="E70" s="494"/>
      <c r="F70" s="494"/>
      <c r="G70" s="494"/>
      <c r="H70" s="494"/>
      <c r="I70" s="220"/>
      <c r="J70" s="220"/>
      <c r="K70" s="220"/>
      <c r="L70" s="484"/>
      <c r="M70" s="503"/>
      <c r="N70" s="255"/>
    </row>
    <row r="71" spans="2:19" ht="16.2" customHeight="1" x14ac:dyDescent="0.4">
      <c r="B71" s="256"/>
      <c r="C71" s="496" t="s">
        <v>672</v>
      </c>
      <c r="D71" s="496"/>
      <c r="E71" s="496"/>
      <c r="F71" s="496"/>
      <c r="G71" s="496"/>
      <c r="H71" s="496"/>
      <c r="I71" s="233"/>
      <c r="J71" s="233"/>
      <c r="K71" s="307" t="s">
        <v>245</v>
      </c>
      <c r="L71" s="233"/>
      <c r="M71" s="261">
        <v>11506.6</v>
      </c>
      <c r="N71" s="174"/>
    </row>
    <row r="72" spans="2:19" ht="16.2" customHeight="1" thickBot="1" x14ac:dyDescent="0.5">
      <c r="B72" s="254"/>
      <c r="C72" s="497" t="s">
        <v>322</v>
      </c>
      <c r="D72" s="497"/>
      <c r="E72" s="497"/>
      <c r="F72" s="497"/>
      <c r="G72" s="497"/>
      <c r="H72" s="497"/>
      <c r="I72" s="302"/>
      <c r="J72" s="302"/>
      <c r="K72" s="303"/>
      <c r="L72" s="303"/>
      <c r="M72" s="261">
        <f>4.68-0.94</f>
        <v>3.7399999999999998</v>
      </c>
      <c r="N72" s="255"/>
    </row>
    <row r="73" spans="2:19" ht="16.2" hidden="1" customHeight="1" thickBot="1" x14ac:dyDescent="0.5">
      <c r="B73" s="254"/>
      <c r="C73" s="496" t="s">
        <v>588</v>
      </c>
      <c r="D73" s="496"/>
      <c r="E73" s="496"/>
      <c r="F73" s="496"/>
      <c r="G73" s="496"/>
      <c r="H73" s="496"/>
      <c r="I73" s="221"/>
      <c r="J73" s="221"/>
      <c r="K73" s="230"/>
      <c r="L73" s="230"/>
      <c r="M73" s="262">
        <v>0</v>
      </c>
      <c r="N73" s="255"/>
    </row>
    <row r="74" spans="2:19" ht="13.5" customHeight="1" x14ac:dyDescent="0.4">
      <c r="B74" s="251"/>
      <c r="C74" s="498" t="s">
        <v>656</v>
      </c>
      <c r="D74" s="498"/>
      <c r="E74" s="498"/>
      <c r="F74" s="498"/>
      <c r="G74" s="498"/>
      <c r="H74" s="498"/>
      <c r="I74" s="260"/>
      <c r="J74" s="260"/>
      <c r="K74" s="260"/>
      <c r="L74" s="485" t="s">
        <v>326</v>
      </c>
      <c r="M74" s="477">
        <f>SUM(M69:M72)-M73</f>
        <v>52936.58</v>
      </c>
      <c r="N74" s="253"/>
    </row>
    <row r="75" spans="2:19" ht="13.5" customHeight="1" thickBot="1" x14ac:dyDescent="0.45">
      <c r="B75" s="257"/>
      <c r="C75" s="499"/>
      <c r="D75" s="499"/>
      <c r="E75" s="499"/>
      <c r="F75" s="499"/>
      <c r="G75" s="499"/>
      <c r="H75" s="499"/>
      <c r="I75" s="258"/>
      <c r="J75" s="258"/>
      <c r="K75" s="258"/>
      <c r="L75" s="486"/>
      <c r="M75" s="478"/>
      <c r="N75" s="259"/>
      <c r="O75" s="135" t="s">
        <v>245</v>
      </c>
    </row>
    <row r="76" spans="2:19" ht="13.5" customHeight="1" x14ac:dyDescent="0.4">
      <c r="C76" s="8"/>
      <c r="D76" s="8"/>
      <c r="E76" s="13"/>
      <c r="F76" s="13"/>
      <c r="G76" s="13"/>
      <c r="H76" s="13"/>
      <c r="I76" s="13"/>
      <c r="J76" s="13"/>
      <c r="K76" s="13"/>
      <c r="L76" s="13"/>
      <c r="M76" s="15" t="s">
        <v>245</v>
      </c>
      <c r="N76" s="8"/>
    </row>
    <row r="77" spans="2:19" ht="13.5" customHeight="1" x14ac:dyDescent="0.4">
      <c r="C77" s="8"/>
      <c r="D77" s="8"/>
      <c r="E77" s="13"/>
      <c r="F77" s="13"/>
      <c r="G77" s="13"/>
      <c r="H77" s="13"/>
      <c r="I77" s="13"/>
      <c r="J77" s="13"/>
      <c r="K77" s="13"/>
      <c r="L77" s="13"/>
      <c r="M77" s="15"/>
      <c r="N77" s="8"/>
    </row>
    <row r="78" spans="2:19" ht="13.5" customHeight="1" x14ac:dyDescent="0.4">
      <c r="C78" s="8"/>
      <c r="D78" s="8"/>
      <c r="E78" s="13"/>
      <c r="F78" s="13"/>
      <c r="G78" s="13"/>
      <c r="H78" s="13"/>
      <c r="I78" s="13"/>
      <c r="J78" s="13"/>
      <c r="K78" s="13"/>
      <c r="L78" s="13"/>
      <c r="M78" s="15"/>
      <c r="N78" s="8"/>
    </row>
    <row r="79" spans="2:19" ht="13.5" customHeight="1" x14ac:dyDescent="0.4">
      <c r="C79" s="237" t="s">
        <v>13</v>
      </c>
      <c r="D79" s="235"/>
      <c r="E79" s="235"/>
      <c r="F79" s="235"/>
      <c r="G79" s="237" t="s">
        <v>82</v>
      </c>
      <c r="H79" s="235"/>
      <c r="I79" s="237" t="s">
        <v>289</v>
      </c>
      <c r="J79" s="237"/>
      <c r="K79" s="235"/>
      <c r="L79" s="235"/>
      <c r="M79" s="235" t="s">
        <v>261</v>
      </c>
      <c r="N79" s="8"/>
    </row>
    <row r="80" spans="2:19" ht="13.5" customHeight="1" x14ac:dyDescent="0.4"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</row>
    <row r="81" spans="3:14" ht="20.149999999999999" customHeight="1" x14ac:dyDescent="0.4">
      <c r="C81" s="234" t="s">
        <v>290</v>
      </c>
      <c r="D81" s="235"/>
      <c r="E81" s="235"/>
      <c r="F81" s="235"/>
      <c r="G81" s="234" t="s">
        <v>14</v>
      </c>
      <c r="H81" s="235"/>
      <c r="I81" s="234" t="s">
        <v>17</v>
      </c>
      <c r="J81" s="234"/>
      <c r="K81" s="235"/>
      <c r="L81" s="235"/>
      <c r="M81" s="234" t="s">
        <v>8</v>
      </c>
      <c r="N81" s="8"/>
    </row>
    <row r="82" spans="3:14" ht="13.5" customHeight="1" x14ac:dyDescent="0.4">
      <c r="C82" s="19" t="s">
        <v>317</v>
      </c>
      <c r="D82" s="8"/>
      <c r="E82" s="8"/>
      <c r="F82" s="8"/>
      <c r="G82" s="19" t="s">
        <v>15</v>
      </c>
      <c r="H82" s="8"/>
      <c r="I82" s="19" t="s">
        <v>292</v>
      </c>
      <c r="J82" s="19"/>
      <c r="K82" s="8"/>
      <c r="L82" s="8"/>
      <c r="M82" s="19" t="s">
        <v>262</v>
      </c>
      <c r="N82" s="8"/>
    </row>
    <row r="83" spans="3:14" ht="13.5" customHeight="1" x14ac:dyDescent="0.4"/>
    <row r="84" spans="3:14" ht="13.5" customHeight="1" x14ac:dyDescent="0.4"/>
    <row r="85" spans="3:14" ht="13.5" customHeight="1" x14ac:dyDescent="0.4"/>
    <row r="86" spans="3:14" ht="13.5" customHeight="1" x14ac:dyDescent="0.4"/>
    <row r="87" spans="3:14" ht="13.5" customHeight="1" x14ac:dyDescent="0.4"/>
    <row r="88" spans="3:14" ht="13.5" customHeight="1" x14ac:dyDescent="0.4"/>
  </sheetData>
  <mergeCells count="18">
    <mergeCell ref="M74:M75"/>
    <mergeCell ref="C16:E16"/>
    <mergeCell ref="G45:I45"/>
    <mergeCell ref="P66:Q66"/>
    <mergeCell ref="C69:H70"/>
    <mergeCell ref="L69:L70"/>
    <mergeCell ref="M69:M70"/>
    <mergeCell ref="C71:H71"/>
    <mergeCell ref="C72:H72"/>
    <mergeCell ref="C73:H73"/>
    <mergeCell ref="C74:H75"/>
    <mergeCell ref="L74:L75"/>
    <mergeCell ref="C14:E14"/>
    <mergeCell ref="C4:N4"/>
    <mergeCell ref="C5:M5"/>
    <mergeCell ref="C6:M6"/>
    <mergeCell ref="C7:M7"/>
    <mergeCell ref="C8:M8"/>
  </mergeCells>
  <pageMargins left="0.2" right="0.2" top="0.25" bottom="0.25" header="0.3" footer="0.3"/>
  <pageSetup paperSize="9" scale="70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ECA01C-5709-4279-9E57-5C355CF78C57}">
  <dimension ref="B2:M75"/>
  <sheetViews>
    <sheetView topLeftCell="A10" workbookViewId="0">
      <selection activeCell="F19" sqref="F19"/>
    </sheetView>
  </sheetViews>
  <sheetFormatPr defaultRowHeight="14.6" x14ac:dyDescent="0.4"/>
  <cols>
    <col min="1" max="1" width="2.3046875" customWidth="1"/>
    <col min="2" max="2" width="13.3046875" customWidth="1"/>
    <col min="3" max="3" width="4.84375" customWidth="1"/>
    <col min="4" max="4" width="12.3046875" customWidth="1"/>
    <col min="5" max="5" width="1.53515625" customWidth="1"/>
    <col min="6" max="6" width="19.84375" customWidth="1"/>
    <col min="7" max="7" width="22.3046875" customWidth="1"/>
    <col min="8" max="8" width="23.3046875" hidden="1" customWidth="1"/>
    <col min="9" max="9" width="13.69140625" customWidth="1"/>
    <col min="10" max="10" width="12.07421875" customWidth="1"/>
    <col min="11" max="12" width="12.3046875" customWidth="1"/>
    <col min="13" max="13" width="11.53515625" customWidth="1"/>
  </cols>
  <sheetData>
    <row r="2" spans="2:12" x14ac:dyDescent="0.4">
      <c r="B2" s="246" t="s">
        <v>329</v>
      </c>
    </row>
    <row r="3" spans="2:12" x14ac:dyDescent="0.4">
      <c r="B3" s="246"/>
    </row>
    <row r="4" spans="2:12" x14ac:dyDescent="0.4">
      <c r="B4" s="246"/>
    </row>
    <row r="5" spans="2:12" x14ac:dyDescent="0.4">
      <c r="B5" s="246"/>
    </row>
    <row r="6" spans="2:12" x14ac:dyDescent="0.4">
      <c r="B6" s="246"/>
    </row>
    <row r="7" spans="2:12" ht="14.15" customHeight="1" x14ac:dyDescent="0.4">
      <c r="B7" s="468" t="s">
        <v>0</v>
      </c>
      <c r="C7" s="468"/>
      <c r="D7" s="468"/>
      <c r="E7" s="468"/>
      <c r="F7" s="468"/>
      <c r="G7" s="468"/>
      <c r="H7" s="468"/>
      <c r="I7" s="468"/>
      <c r="J7" s="468"/>
      <c r="K7" s="468"/>
      <c r="L7" s="468"/>
    </row>
    <row r="8" spans="2:12" ht="14.15" customHeight="1" x14ac:dyDescent="0.4">
      <c r="B8" s="19"/>
      <c r="C8" s="19"/>
      <c r="D8" s="19"/>
      <c r="E8" s="19"/>
      <c r="F8" s="19"/>
      <c r="G8" s="19" t="s">
        <v>18</v>
      </c>
      <c r="H8" s="19"/>
      <c r="I8" s="19"/>
      <c r="J8" s="19"/>
      <c r="K8" s="19"/>
      <c r="L8" s="1"/>
    </row>
    <row r="9" spans="2:12" ht="14.15" customHeight="1" x14ac:dyDescent="0.4">
      <c r="B9" s="8"/>
      <c r="C9" s="8"/>
      <c r="D9" s="8"/>
      <c r="E9" s="8"/>
      <c r="F9" s="473" t="s">
        <v>594</v>
      </c>
      <c r="G9" s="473"/>
      <c r="H9" s="473"/>
      <c r="I9" s="473"/>
      <c r="J9" s="473"/>
      <c r="K9" s="8"/>
    </row>
    <row r="10" spans="2:12" ht="14.15" customHeight="1" thickBot="1" x14ac:dyDescent="0.45">
      <c r="B10" s="8"/>
      <c r="C10" s="8"/>
      <c r="D10" s="8"/>
      <c r="E10" s="8"/>
      <c r="F10" s="8"/>
      <c r="G10" s="8"/>
      <c r="H10" s="8"/>
      <c r="I10" s="8"/>
      <c r="J10" s="8"/>
      <c r="K10" s="8"/>
    </row>
    <row r="11" spans="2:12" ht="21.75" customHeight="1" x14ac:dyDescent="0.4">
      <c r="B11" s="308"/>
      <c r="C11" s="309"/>
      <c r="D11" s="310"/>
      <c r="E11" s="309"/>
      <c r="F11" s="311"/>
      <c r="G11" s="500" t="s">
        <v>304</v>
      </c>
      <c r="H11" s="500" t="s">
        <v>299</v>
      </c>
      <c r="I11" s="500" t="s">
        <v>293</v>
      </c>
      <c r="J11" s="502" t="s">
        <v>301</v>
      </c>
      <c r="K11" s="502"/>
      <c r="L11" s="500" t="s">
        <v>296</v>
      </c>
    </row>
    <row r="12" spans="2:12" ht="30" customHeight="1" thickBot="1" x14ac:dyDescent="0.45">
      <c r="B12" s="312" t="s">
        <v>5</v>
      </c>
      <c r="C12" s="313"/>
      <c r="D12" s="314" t="s">
        <v>309</v>
      </c>
      <c r="E12" s="313"/>
      <c r="F12" s="315" t="s">
        <v>1</v>
      </c>
      <c r="G12" s="501"/>
      <c r="H12" s="501"/>
      <c r="I12" s="501"/>
      <c r="J12" s="316" t="s">
        <v>302</v>
      </c>
      <c r="K12" s="317" t="s">
        <v>303</v>
      </c>
      <c r="L12" s="501"/>
    </row>
    <row r="13" spans="2:12" ht="16.2" customHeight="1" x14ac:dyDescent="0.4">
      <c r="B13" s="137" t="s">
        <v>590</v>
      </c>
      <c r="C13" s="19"/>
      <c r="D13" s="155"/>
      <c r="E13" s="19"/>
      <c r="F13" s="170"/>
      <c r="G13" s="110"/>
      <c r="H13" s="110"/>
      <c r="I13" s="157"/>
      <c r="J13" s="178"/>
      <c r="K13" s="183"/>
      <c r="L13" s="186"/>
    </row>
    <row r="14" spans="2:12" ht="16.2" customHeight="1" x14ac:dyDescent="0.4">
      <c r="B14" s="138" t="s">
        <v>7</v>
      </c>
      <c r="C14" s="139" t="s">
        <v>245</v>
      </c>
      <c r="D14" s="140">
        <v>2808</v>
      </c>
      <c r="E14" s="141"/>
      <c r="F14" s="171" t="s">
        <v>434</v>
      </c>
      <c r="G14" s="158">
        <v>500</v>
      </c>
      <c r="H14" s="158"/>
      <c r="I14" s="140"/>
      <c r="J14" s="114"/>
      <c r="K14" s="184" t="s">
        <v>245</v>
      </c>
      <c r="L14" s="163"/>
    </row>
    <row r="15" spans="2:12" ht="16.2" customHeight="1" x14ac:dyDescent="0.4">
      <c r="B15" s="138" t="s">
        <v>7</v>
      </c>
      <c r="C15" s="139"/>
      <c r="D15" s="140">
        <f>1+D14</f>
        <v>2809</v>
      </c>
      <c r="E15" s="141"/>
      <c r="F15" s="171" t="s">
        <v>41</v>
      </c>
      <c r="G15" s="158">
        <v>100</v>
      </c>
      <c r="H15" s="158"/>
      <c r="I15" s="140"/>
      <c r="J15" s="114"/>
      <c r="K15" s="184"/>
      <c r="L15" s="163"/>
    </row>
    <row r="16" spans="2:12" ht="16.2" customHeight="1" x14ac:dyDescent="0.4">
      <c r="B16" s="138" t="s">
        <v>7</v>
      </c>
      <c r="C16" s="139"/>
      <c r="D16" s="140">
        <f>1+D15</f>
        <v>2810</v>
      </c>
      <c r="E16" s="141"/>
      <c r="F16" s="171" t="s">
        <v>232</v>
      </c>
      <c r="G16" s="158">
        <v>100</v>
      </c>
      <c r="H16" s="158"/>
      <c r="I16" s="140"/>
      <c r="J16" s="114"/>
      <c r="K16" s="184"/>
      <c r="L16" s="163"/>
    </row>
    <row r="17" spans="2:13" ht="16.2" customHeight="1" x14ac:dyDescent="0.4">
      <c r="B17" s="138" t="s">
        <v>7</v>
      </c>
      <c r="C17" s="139"/>
      <c r="D17" s="140">
        <f>1+D16</f>
        <v>2811</v>
      </c>
      <c r="E17" s="141"/>
      <c r="F17" s="171" t="s">
        <v>410</v>
      </c>
      <c r="G17" s="158">
        <v>100</v>
      </c>
      <c r="H17" s="158"/>
      <c r="I17" s="140"/>
      <c r="J17" s="114"/>
      <c r="K17" s="184"/>
      <c r="L17" s="163"/>
    </row>
    <row r="18" spans="2:13" ht="16.2" customHeight="1" x14ac:dyDescent="0.4">
      <c r="B18" s="138" t="s">
        <v>7</v>
      </c>
      <c r="C18" s="139"/>
      <c r="D18" s="140">
        <f>1+D17</f>
        <v>2812</v>
      </c>
      <c r="E18" s="141"/>
      <c r="F18" s="171" t="s">
        <v>402</v>
      </c>
      <c r="G18" s="158">
        <v>100</v>
      </c>
      <c r="H18" s="158"/>
      <c r="I18" s="140"/>
      <c r="J18" s="114"/>
      <c r="K18" s="184"/>
      <c r="L18" s="163"/>
    </row>
    <row r="19" spans="2:13" ht="16.2" customHeight="1" x14ac:dyDescent="0.4">
      <c r="B19" s="138" t="s">
        <v>7</v>
      </c>
      <c r="C19" s="139"/>
      <c r="D19" s="140">
        <f>1+D18</f>
        <v>2813</v>
      </c>
      <c r="E19" s="141"/>
      <c r="F19" s="391" t="s">
        <v>591</v>
      </c>
      <c r="G19" s="392">
        <v>1000</v>
      </c>
      <c r="H19" s="158"/>
      <c r="I19" s="140"/>
      <c r="J19" s="114"/>
      <c r="K19" s="184"/>
      <c r="L19" s="163"/>
      <c r="M19" t="s">
        <v>671</v>
      </c>
    </row>
    <row r="20" spans="2:13" ht="18" customHeight="1" x14ac:dyDescent="0.4">
      <c r="B20" s="154" t="s">
        <v>307</v>
      </c>
      <c r="D20" s="111"/>
      <c r="F20" s="109"/>
      <c r="G20" s="161">
        <f>SUM(G14:G19)</f>
        <v>1900</v>
      </c>
      <c r="H20" s="161"/>
      <c r="I20" s="162">
        <f>G20-J20</f>
        <v>900</v>
      </c>
      <c r="J20" s="114">
        <v>1000</v>
      </c>
      <c r="K20" s="185">
        <v>0</v>
      </c>
      <c r="L20" s="198">
        <f>J20+K20</f>
        <v>1000</v>
      </c>
    </row>
    <row r="21" spans="2:13" ht="16.2" customHeight="1" x14ac:dyDescent="0.4">
      <c r="B21" s="138">
        <v>10</v>
      </c>
      <c r="C21" s="141"/>
      <c r="D21" s="140">
        <v>2814</v>
      </c>
      <c r="E21" s="141"/>
      <c r="F21" s="172" t="s">
        <v>129</v>
      </c>
      <c r="G21" s="158">
        <v>100</v>
      </c>
      <c r="H21" s="159"/>
      <c r="I21" s="140"/>
      <c r="J21" s="114"/>
      <c r="K21" s="185"/>
      <c r="L21" s="166" t="s">
        <v>245</v>
      </c>
    </row>
    <row r="22" spans="2:13" ht="16.2" customHeight="1" x14ac:dyDescent="0.4">
      <c r="B22" s="138">
        <v>10</v>
      </c>
      <c r="C22" s="141"/>
      <c r="D22" s="140">
        <f>1+D21</f>
        <v>2815</v>
      </c>
      <c r="E22" s="141"/>
      <c r="F22" s="172" t="s">
        <v>129</v>
      </c>
      <c r="G22" s="275">
        <v>50</v>
      </c>
      <c r="H22" s="159"/>
      <c r="I22" s="140"/>
      <c r="J22" s="114"/>
      <c r="K22" s="185"/>
      <c r="L22" s="166"/>
    </row>
    <row r="23" spans="2:13" ht="16.2" customHeight="1" x14ac:dyDescent="0.4">
      <c r="B23" s="138">
        <v>10</v>
      </c>
      <c r="C23" s="141"/>
      <c r="D23" s="140">
        <f>1+D22</f>
        <v>2816</v>
      </c>
      <c r="E23" s="141"/>
      <c r="F23" s="172" t="s">
        <v>345</v>
      </c>
      <c r="G23" s="158">
        <v>100</v>
      </c>
      <c r="H23" s="159"/>
      <c r="I23" s="140"/>
      <c r="J23" s="114"/>
      <c r="K23" s="185"/>
      <c r="L23" s="166"/>
    </row>
    <row r="24" spans="2:13" ht="16.2" customHeight="1" x14ac:dyDescent="0.4">
      <c r="B24" s="138">
        <v>10</v>
      </c>
      <c r="C24" s="141"/>
      <c r="D24" s="140">
        <f>1+D23</f>
        <v>2817</v>
      </c>
      <c r="E24" s="141"/>
      <c r="F24" s="172" t="s">
        <v>592</v>
      </c>
      <c r="G24" s="158">
        <v>100</v>
      </c>
      <c r="H24" s="159"/>
      <c r="I24" s="140"/>
      <c r="J24" s="114"/>
      <c r="K24" s="185"/>
      <c r="L24" s="166"/>
    </row>
    <row r="25" spans="2:13" ht="16.2" customHeight="1" x14ac:dyDescent="0.4">
      <c r="B25" s="138">
        <v>10</v>
      </c>
      <c r="C25" s="141"/>
      <c r="D25" s="140">
        <f>1+D24</f>
        <v>2818</v>
      </c>
      <c r="E25" s="141"/>
      <c r="F25" s="172" t="s">
        <v>380</v>
      </c>
      <c r="G25" s="158">
        <v>100</v>
      </c>
      <c r="H25" s="159"/>
      <c r="I25" s="140"/>
      <c r="J25" s="114"/>
      <c r="K25" s="185"/>
      <c r="L25" s="166"/>
    </row>
    <row r="26" spans="2:13" ht="16.2" customHeight="1" x14ac:dyDescent="0.4">
      <c r="B26" s="138">
        <v>10</v>
      </c>
      <c r="C26" s="141"/>
      <c r="D26" s="140">
        <f>1+D25</f>
        <v>2819</v>
      </c>
      <c r="E26" s="141"/>
      <c r="F26" s="172" t="s">
        <v>403</v>
      </c>
      <c r="G26" s="275">
        <v>100</v>
      </c>
      <c r="H26" s="159"/>
      <c r="I26" s="140"/>
      <c r="J26" s="114"/>
      <c r="K26" s="185"/>
      <c r="L26" s="166"/>
      <c r="M26" s="272" t="s">
        <v>245</v>
      </c>
    </row>
    <row r="27" spans="2:13" ht="16.2" customHeight="1" x14ac:dyDescent="0.4">
      <c r="B27" s="154" t="s">
        <v>307</v>
      </c>
      <c r="C27" s="141"/>
      <c r="D27" s="140"/>
      <c r="E27" s="141"/>
      <c r="F27" s="172"/>
      <c r="G27" s="289">
        <f>SUM(G21:G26)</f>
        <v>550</v>
      </c>
      <c r="H27" s="159"/>
      <c r="I27" s="162">
        <f>G27-J27</f>
        <v>0</v>
      </c>
      <c r="J27" s="114">
        <v>550</v>
      </c>
      <c r="K27" s="185">
        <v>450</v>
      </c>
      <c r="L27" s="198">
        <f>J27+K27</f>
        <v>1000</v>
      </c>
    </row>
    <row r="28" spans="2:13" ht="16.2" customHeight="1" x14ac:dyDescent="0.4">
      <c r="B28" s="138">
        <v>17</v>
      </c>
      <c r="C28" s="141"/>
      <c r="D28" s="140">
        <v>2820</v>
      </c>
      <c r="E28" s="141"/>
      <c r="F28" s="172" t="s">
        <v>345</v>
      </c>
      <c r="G28" s="275">
        <v>100</v>
      </c>
      <c r="H28" s="159"/>
      <c r="I28" s="140"/>
      <c r="J28" s="114"/>
      <c r="K28" s="185"/>
      <c r="L28" s="166"/>
    </row>
    <row r="29" spans="2:13" ht="16.2" customHeight="1" x14ac:dyDescent="0.4">
      <c r="B29" s="138">
        <v>17</v>
      </c>
      <c r="C29" s="141"/>
      <c r="D29" s="140">
        <f>1+D28</f>
        <v>2821</v>
      </c>
      <c r="E29" s="141"/>
      <c r="F29" s="172" t="s">
        <v>434</v>
      </c>
      <c r="G29" s="275">
        <v>200</v>
      </c>
      <c r="H29" s="159"/>
      <c r="I29" s="140"/>
      <c r="J29" s="114"/>
      <c r="K29" s="185"/>
      <c r="L29" s="166"/>
    </row>
    <row r="30" spans="2:13" ht="16.2" customHeight="1" x14ac:dyDescent="0.4">
      <c r="B30" s="138">
        <v>17</v>
      </c>
      <c r="C30" s="141"/>
      <c r="D30" s="140">
        <f>1+D29</f>
        <v>2822</v>
      </c>
      <c r="E30" s="141"/>
      <c r="F30" s="172" t="s">
        <v>33</v>
      </c>
      <c r="G30" s="275">
        <v>100</v>
      </c>
      <c r="H30" s="159"/>
      <c r="I30" s="140"/>
      <c r="J30" s="114"/>
      <c r="K30" s="185"/>
      <c r="L30" s="166"/>
    </row>
    <row r="31" spans="2:13" ht="16.2" customHeight="1" x14ac:dyDescent="0.4">
      <c r="B31" s="138">
        <v>17</v>
      </c>
      <c r="C31" s="141"/>
      <c r="D31" s="140">
        <f>1+D30</f>
        <v>2823</v>
      </c>
      <c r="E31" s="141"/>
      <c r="F31" s="172" t="s">
        <v>593</v>
      </c>
      <c r="G31" s="275">
        <v>100</v>
      </c>
      <c r="H31" s="159"/>
      <c r="I31" s="140"/>
      <c r="J31" s="114"/>
      <c r="K31" s="185"/>
      <c r="L31" s="166"/>
    </row>
    <row r="32" spans="2:13" ht="16.2" customHeight="1" x14ac:dyDescent="0.4">
      <c r="B32" s="138">
        <v>17</v>
      </c>
      <c r="C32" s="141"/>
      <c r="D32" s="140">
        <f>1+D31</f>
        <v>2824</v>
      </c>
      <c r="E32" s="141"/>
      <c r="F32" s="172" t="s">
        <v>232</v>
      </c>
      <c r="G32" s="158">
        <v>100</v>
      </c>
      <c r="H32" s="159"/>
      <c r="I32" s="140"/>
      <c r="J32" s="114"/>
      <c r="K32" s="185"/>
      <c r="L32" s="166"/>
      <c r="M32" t="s">
        <v>245</v>
      </c>
    </row>
    <row r="33" spans="2:13" ht="16.2" customHeight="1" x14ac:dyDescent="0.4">
      <c r="B33" s="138">
        <v>17</v>
      </c>
      <c r="C33" s="141"/>
      <c r="D33" s="140">
        <f>1+D32</f>
        <v>2825</v>
      </c>
      <c r="E33" s="141"/>
      <c r="F33" s="172" t="s">
        <v>41</v>
      </c>
      <c r="G33" s="158">
        <v>100</v>
      </c>
      <c r="H33" s="159"/>
      <c r="I33" s="140"/>
      <c r="J33" s="114"/>
      <c r="K33" s="185"/>
      <c r="L33" s="166"/>
      <c r="M33" t="s">
        <v>245</v>
      </c>
    </row>
    <row r="34" spans="2:13" ht="18" customHeight="1" thickBot="1" x14ac:dyDescent="0.5">
      <c r="B34" s="154" t="s">
        <v>307</v>
      </c>
      <c r="D34" s="111"/>
      <c r="F34" s="298"/>
      <c r="G34" s="306">
        <f>SUM(G28:G33)</f>
        <v>700</v>
      </c>
      <c r="H34" s="306"/>
      <c r="I34" s="162">
        <f>G34-J34</f>
        <v>100</v>
      </c>
      <c r="J34" s="142">
        <v>600</v>
      </c>
      <c r="K34" s="185">
        <v>400</v>
      </c>
      <c r="L34" s="198">
        <f>J34+K34</f>
        <v>1000</v>
      </c>
      <c r="M34" s="135"/>
    </row>
    <row r="35" spans="2:13" ht="16.2" hidden="1" customHeight="1" x14ac:dyDescent="0.4">
      <c r="B35" s="138">
        <v>19</v>
      </c>
      <c r="C35" s="141"/>
      <c r="D35" s="140">
        <v>2792</v>
      </c>
      <c r="E35" s="141"/>
      <c r="F35" s="172" t="s">
        <v>158</v>
      </c>
      <c r="G35" s="158"/>
      <c r="H35" s="159"/>
      <c r="I35" s="140"/>
      <c r="J35" s="179"/>
      <c r="K35" s="185"/>
      <c r="L35" s="199"/>
    </row>
    <row r="36" spans="2:13" ht="16.2" hidden="1" customHeight="1" x14ac:dyDescent="0.4">
      <c r="B36" s="138">
        <v>19</v>
      </c>
      <c r="C36" s="141"/>
      <c r="D36" s="140">
        <f>1+D35</f>
        <v>2793</v>
      </c>
      <c r="E36" s="141"/>
      <c r="F36" s="172" t="s">
        <v>41</v>
      </c>
      <c r="G36" s="275"/>
      <c r="H36" s="159"/>
      <c r="I36" s="162"/>
      <c r="J36" s="179"/>
      <c r="K36" s="185"/>
      <c r="L36" s="199"/>
    </row>
    <row r="37" spans="2:13" ht="16.2" hidden="1" customHeight="1" x14ac:dyDescent="0.4">
      <c r="B37" s="154" t="s">
        <v>307</v>
      </c>
      <c r="C37" s="141"/>
      <c r="D37" s="140"/>
      <c r="E37" s="141"/>
      <c r="F37" s="172"/>
      <c r="G37" s="334">
        <f>SUM(G35:G36)</f>
        <v>0</v>
      </c>
      <c r="H37" s="159"/>
      <c r="I37" s="162">
        <f>G37-J37</f>
        <v>0</v>
      </c>
      <c r="J37" s="179"/>
      <c r="K37" s="185"/>
      <c r="L37" s="199"/>
    </row>
    <row r="38" spans="2:13" ht="16.2" hidden="1" customHeight="1" x14ac:dyDescent="0.4">
      <c r="B38" s="138">
        <v>20</v>
      </c>
      <c r="C38" s="141"/>
      <c r="D38" s="140">
        <v>2794</v>
      </c>
      <c r="E38" s="141"/>
      <c r="F38" s="172" t="s">
        <v>550</v>
      </c>
      <c r="G38" s="275"/>
      <c r="H38" s="159"/>
      <c r="I38" s="140"/>
      <c r="J38" s="179"/>
      <c r="K38" s="185"/>
      <c r="L38" s="199"/>
    </row>
    <row r="39" spans="2:13" ht="16.2" hidden="1" customHeight="1" x14ac:dyDescent="0.4">
      <c r="B39" s="138">
        <v>20</v>
      </c>
      <c r="C39" s="141"/>
      <c r="D39" s="140">
        <f t="shared" ref="D39:D44" si="0">1+D38</f>
        <v>2795</v>
      </c>
      <c r="E39" s="141"/>
      <c r="F39" s="172" t="s">
        <v>551</v>
      </c>
      <c r="G39" s="275"/>
      <c r="H39" s="159"/>
      <c r="I39" s="140"/>
      <c r="J39" s="179"/>
      <c r="K39" s="185"/>
      <c r="L39" s="199"/>
    </row>
    <row r="40" spans="2:13" ht="16.2" hidden="1" customHeight="1" x14ac:dyDescent="0.4">
      <c r="B40" s="138">
        <v>20</v>
      </c>
      <c r="C40" s="141"/>
      <c r="D40" s="140">
        <f t="shared" si="0"/>
        <v>2796</v>
      </c>
      <c r="E40" s="141"/>
      <c r="F40" s="172" t="s">
        <v>552</v>
      </c>
      <c r="G40" s="275"/>
      <c r="H40" s="159"/>
      <c r="I40" s="140"/>
      <c r="J40" s="179"/>
      <c r="K40" s="185"/>
      <c r="L40" s="199"/>
    </row>
    <row r="41" spans="2:13" ht="16.2" hidden="1" customHeight="1" x14ac:dyDescent="0.4">
      <c r="B41" s="138">
        <v>20</v>
      </c>
      <c r="C41" s="141"/>
      <c r="D41" s="140">
        <f t="shared" si="0"/>
        <v>2797</v>
      </c>
      <c r="E41" s="141"/>
      <c r="F41" s="172" t="s">
        <v>33</v>
      </c>
      <c r="G41" s="275"/>
      <c r="H41" s="159"/>
      <c r="I41" s="140"/>
      <c r="J41" s="179"/>
      <c r="K41" s="185"/>
      <c r="L41" s="199"/>
    </row>
    <row r="42" spans="2:13" ht="16.2" hidden="1" customHeight="1" x14ac:dyDescent="0.4">
      <c r="B42" s="138">
        <v>20</v>
      </c>
      <c r="C42" s="141"/>
      <c r="D42" s="140">
        <f t="shared" si="0"/>
        <v>2798</v>
      </c>
      <c r="E42" s="141"/>
      <c r="F42" s="172" t="s">
        <v>553</v>
      </c>
      <c r="G42" s="275"/>
      <c r="H42" s="159"/>
      <c r="I42" s="140"/>
      <c r="J42" s="179"/>
      <c r="K42" s="185"/>
      <c r="L42" s="199"/>
    </row>
    <row r="43" spans="2:13" ht="16.2" hidden="1" customHeight="1" x14ac:dyDescent="0.4">
      <c r="B43" s="138">
        <v>20</v>
      </c>
      <c r="C43" s="141"/>
      <c r="D43" s="140">
        <f t="shared" si="0"/>
        <v>2799</v>
      </c>
      <c r="E43" s="141"/>
      <c r="F43" s="335" t="s">
        <v>554</v>
      </c>
      <c r="G43" s="275">
        <v>0</v>
      </c>
      <c r="H43" s="159"/>
      <c r="I43" s="140"/>
      <c r="J43" s="179"/>
      <c r="K43" s="185"/>
      <c r="L43" s="199"/>
    </row>
    <row r="44" spans="2:13" ht="16.2" hidden="1" customHeight="1" x14ac:dyDescent="0.4">
      <c r="B44" s="138">
        <v>20</v>
      </c>
      <c r="C44" s="141"/>
      <c r="D44" s="140">
        <f t="shared" si="0"/>
        <v>2800</v>
      </c>
      <c r="E44" s="141"/>
      <c r="F44" s="172" t="s">
        <v>121</v>
      </c>
      <c r="G44" s="348"/>
      <c r="H44" s="159"/>
      <c r="I44" s="140"/>
      <c r="J44" s="142"/>
      <c r="K44" s="185"/>
      <c r="L44" s="199"/>
    </row>
    <row r="45" spans="2:13" ht="16.2" hidden="1" customHeight="1" x14ac:dyDescent="0.4">
      <c r="B45" s="154" t="s">
        <v>307</v>
      </c>
      <c r="C45" s="141"/>
      <c r="D45" s="140"/>
      <c r="E45" s="141"/>
      <c r="F45" s="172"/>
      <c r="G45" s="334">
        <f>SUM(G38:G44)</f>
        <v>0</v>
      </c>
      <c r="H45" s="159"/>
      <c r="I45" s="162">
        <f>G45-J45</f>
        <v>0</v>
      </c>
      <c r="J45" s="142">
        <v>0</v>
      </c>
      <c r="K45" s="185"/>
      <c r="L45" s="198">
        <f>J45+K45</f>
        <v>0</v>
      </c>
    </row>
    <row r="46" spans="2:13" ht="16.2" hidden="1" customHeight="1" x14ac:dyDescent="0.4">
      <c r="B46" s="138">
        <v>12</v>
      </c>
      <c r="C46" s="141"/>
      <c r="D46" s="140">
        <v>2801</v>
      </c>
      <c r="E46" s="141"/>
      <c r="F46" s="172" t="s">
        <v>434</v>
      </c>
      <c r="G46" s="275"/>
      <c r="H46" s="159"/>
      <c r="I46" s="162"/>
      <c r="J46" s="142"/>
      <c r="K46" s="185"/>
      <c r="L46" s="198"/>
    </row>
    <row r="47" spans="2:13" ht="16.2" hidden="1" customHeight="1" x14ac:dyDescent="0.4">
      <c r="B47" s="138">
        <v>13</v>
      </c>
      <c r="C47" s="141"/>
      <c r="D47" s="140">
        <f t="shared" ref="D47:D52" si="1">1+D46</f>
        <v>2802</v>
      </c>
      <c r="E47" s="141"/>
      <c r="F47" s="347" t="s">
        <v>555</v>
      </c>
      <c r="G47" s="341"/>
      <c r="H47" s="159"/>
      <c r="I47" s="162"/>
      <c r="J47" s="142"/>
      <c r="K47" s="185"/>
      <c r="L47" s="198"/>
    </row>
    <row r="48" spans="2:13" ht="16.2" hidden="1" customHeight="1" x14ac:dyDescent="0.4">
      <c r="B48" s="138">
        <v>14</v>
      </c>
      <c r="C48" s="141"/>
      <c r="D48" s="140">
        <f t="shared" si="1"/>
        <v>2803</v>
      </c>
      <c r="E48" s="141"/>
      <c r="F48" s="347" t="s">
        <v>106</v>
      </c>
      <c r="G48" s="341"/>
      <c r="H48" s="159"/>
      <c r="I48" s="140"/>
      <c r="J48" s="142"/>
      <c r="K48" s="185"/>
      <c r="L48" s="199"/>
    </row>
    <row r="49" spans="2:13" ht="16.2" hidden="1" customHeight="1" x14ac:dyDescent="0.4">
      <c r="B49" s="138">
        <v>15</v>
      </c>
      <c r="C49" s="141"/>
      <c r="D49" s="140">
        <f t="shared" si="1"/>
        <v>2804</v>
      </c>
      <c r="E49" s="141"/>
      <c r="F49" s="347" t="s">
        <v>556</v>
      </c>
      <c r="G49" s="341"/>
      <c r="H49" s="159"/>
      <c r="I49" s="140"/>
      <c r="J49" s="142"/>
      <c r="K49" s="185"/>
      <c r="L49" s="199"/>
    </row>
    <row r="50" spans="2:13" ht="16.2" hidden="1" customHeight="1" x14ac:dyDescent="0.4">
      <c r="B50" s="138">
        <v>17</v>
      </c>
      <c r="C50" s="141"/>
      <c r="D50" s="140">
        <f t="shared" si="1"/>
        <v>2805</v>
      </c>
      <c r="E50" s="141"/>
      <c r="F50" s="172" t="s">
        <v>14</v>
      </c>
      <c r="G50" s="275"/>
      <c r="H50" s="159"/>
      <c r="I50" s="140"/>
      <c r="J50" s="142"/>
      <c r="K50" s="185"/>
      <c r="L50" s="199"/>
    </row>
    <row r="51" spans="2:13" ht="16.2" hidden="1" customHeight="1" x14ac:dyDescent="0.4">
      <c r="B51" s="138">
        <v>20</v>
      </c>
      <c r="C51" s="141"/>
      <c r="D51" s="140">
        <f t="shared" si="1"/>
        <v>2806</v>
      </c>
      <c r="E51" s="141"/>
      <c r="F51" s="172" t="s">
        <v>557</v>
      </c>
      <c r="G51" s="275"/>
      <c r="H51" s="159"/>
      <c r="I51" s="140"/>
      <c r="J51" s="142"/>
      <c r="K51" s="185"/>
      <c r="L51" s="199"/>
    </row>
    <row r="52" spans="2:13" ht="16.2" hidden="1" customHeight="1" x14ac:dyDescent="0.4">
      <c r="B52" s="138">
        <v>25</v>
      </c>
      <c r="C52" s="141"/>
      <c r="D52" s="140">
        <f t="shared" si="1"/>
        <v>2807</v>
      </c>
      <c r="E52" s="141"/>
      <c r="F52" s="172" t="s">
        <v>558</v>
      </c>
      <c r="G52" s="275"/>
      <c r="H52" s="159"/>
      <c r="I52" s="140"/>
      <c r="J52" s="142"/>
      <c r="K52" s="185"/>
      <c r="L52" s="199"/>
    </row>
    <row r="53" spans="2:13" ht="16.2" hidden="1" customHeight="1" thickBot="1" x14ac:dyDescent="0.45">
      <c r="B53" s="345" t="s">
        <v>307</v>
      </c>
      <c r="C53" s="141"/>
      <c r="D53" s="140"/>
      <c r="E53" s="141"/>
      <c r="F53" s="172"/>
      <c r="G53" s="334">
        <f>SUM(G46:G52)</f>
        <v>0</v>
      </c>
      <c r="H53" s="159"/>
      <c r="I53" s="343">
        <f>G53-J53</f>
        <v>0</v>
      </c>
      <c r="J53" s="142">
        <v>0</v>
      </c>
      <c r="K53" s="185"/>
      <c r="L53" s="198">
        <f>J53+K53</f>
        <v>0</v>
      </c>
      <c r="M53" t="s">
        <v>570</v>
      </c>
    </row>
    <row r="54" spans="2:13" ht="16.2" hidden="1" customHeight="1" thickBot="1" x14ac:dyDescent="0.45">
      <c r="B54" s="345" t="s">
        <v>307</v>
      </c>
      <c r="C54" s="19"/>
      <c r="D54" s="157"/>
      <c r="E54" s="19"/>
      <c r="F54" s="17" t="s">
        <v>571</v>
      </c>
      <c r="G54" s="349"/>
      <c r="H54" s="350"/>
      <c r="I54" s="343">
        <f>G54-J54</f>
        <v>0</v>
      </c>
      <c r="J54" s="216"/>
      <c r="K54" s="351"/>
      <c r="L54" s="352"/>
    </row>
    <row r="55" spans="2:13" ht="22.2" customHeight="1" thickBot="1" x14ac:dyDescent="0.45">
      <c r="B55" s="318" t="s">
        <v>297</v>
      </c>
      <c r="C55" s="319"/>
      <c r="D55" s="320"/>
      <c r="E55" s="321"/>
      <c r="F55" s="319"/>
      <c r="G55" s="322">
        <f>G20+G27+G34+G37+G45+G53+G54</f>
        <v>3150</v>
      </c>
      <c r="H55" s="322"/>
      <c r="I55" s="322">
        <f>I20+I27+I34+I37+I45+I53+I54</f>
        <v>1000</v>
      </c>
      <c r="J55" s="322">
        <f>J20+J27+J34+J37+J45+J53+J54</f>
        <v>2150</v>
      </c>
      <c r="K55" s="322">
        <f>K20+K27+K34+K37+K45+K53+K54</f>
        <v>850</v>
      </c>
      <c r="L55" s="322">
        <f>L20+L27+L34+L37+L45+L53+L54</f>
        <v>3000</v>
      </c>
    </row>
    <row r="56" spans="2:13" ht="16.2" customHeight="1" x14ac:dyDescent="0.4">
      <c r="B56" s="9"/>
      <c r="C56" s="8"/>
      <c r="D56" s="19"/>
      <c r="E56" s="19"/>
      <c r="F56" s="8"/>
      <c r="G56" s="10"/>
      <c r="H56" s="10"/>
      <c r="I56" s="14" t="s">
        <v>245</v>
      </c>
      <c r="J56" s="14" t="s">
        <v>245</v>
      </c>
      <c r="K56" s="12"/>
      <c r="L56" s="15" t="s">
        <v>245</v>
      </c>
    </row>
    <row r="57" spans="2:13" ht="16.2" customHeight="1" x14ac:dyDescent="0.4">
      <c r="B57" s="9"/>
      <c r="C57" s="8"/>
      <c r="D57" s="19"/>
      <c r="E57" s="19"/>
      <c r="F57" s="8"/>
      <c r="G57" s="10" t="s">
        <v>245</v>
      </c>
      <c r="H57" s="10"/>
      <c r="I57" s="14" t="s">
        <v>245</v>
      </c>
      <c r="J57" s="14"/>
      <c r="K57" s="12"/>
      <c r="L57" s="15"/>
    </row>
    <row r="58" spans="2:13" ht="14.15" customHeight="1" x14ac:dyDescent="0.4">
      <c r="B58" s="9"/>
      <c r="C58" s="8"/>
      <c r="D58" s="19"/>
      <c r="E58" s="19"/>
      <c r="F58" s="8"/>
      <c r="G58" s="10"/>
      <c r="H58" s="10"/>
      <c r="I58" s="14"/>
      <c r="J58" s="14"/>
      <c r="K58" s="12"/>
      <c r="L58" s="15"/>
    </row>
    <row r="59" spans="2:13" ht="14.15" customHeight="1" x14ac:dyDescent="0.4">
      <c r="B59" s="8"/>
      <c r="C59" s="8"/>
      <c r="D59" s="8" t="s">
        <v>245</v>
      </c>
      <c r="E59" s="8"/>
      <c r="F59" s="8"/>
      <c r="G59" s="8"/>
      <c r="H59" s="8"/>
      <c r="I59" s="8"/>
      <c r="J59" s="8"/>
      <c r="K59" s="8"/>
    </row>
    <row r="60" spans="2:13" ht="14.15" customHeight="1" x14ac:dyDescent="0.4">
      <c r="B60" s="8"/>
      <c r="C60" s="8"/>
      <c r="D60" s="19" t="s">
        <v>245</v>
      </c>
      <c r="E60" s="8"/>
      <c r="F60" s="19" t="s">
        <v>245</v>
      </c>
      <c r="G60" s="8"/>
      <c r="H60" s="8"/>
      <c r="I60" s="8"/>
      <c r="J60" s="8"/>
      <c r="K60" s="8"/>
    </row>
    <row r="61" spans="2:13" ht="14.15" customHeight="1" x14ac:dyDescent="0.4">
      <c r="B61" s="8"/>
      <c r="C61" s="8"/>
      <c r="D61" s="8"/>
      <c r="E61" s="8"/>
      <c r="F61" s="19"/>
      <c r="G61" s="8"/>
      <c r="H61" s="8"/>
      <c r="I61" s="8"/>
      <c r="J61" s="8"/>
      <c r="K61" s="8"/>
    </row>
    <row r="62" spans="2:13" ht="14.15" customHeight="1" x14ac:dyDescent="0.4">
      <c r="B62" s="8"/>
      <c r="C62" s="8"/>
      <c r="D62" s="8"/>
      <c r="E62" s="8"/>
      <c r="F62" s="19"/>
      <c r="G62" s="8"/>
      <c r="H62" s="8"/>
      <c r="I62" s="8"/>
      <c r="J62" s="8"/>
      <c r="K62" s="8"/>
    </row>
    <row r="63" spans="2:13" ht="14.15" customHeight="1" x14ac:dyDescent="0.4">
      <c r="B63" s="8"/>
      <c r="C63" s="8"/>
      <c r="D63" s="8"/>
      <c r="E63" s="8"/>
      <c r="F63" s="19"/>
      <c r="G63" s="8"/>
      <c r="H63" s="8"/>
      <c r="I63" s="8"/>
      <c r="J63" s="8"/>
      <c r="K63" s="8"/>
    </row>
    <row r="64" spans="2:13" ht="14.15" customHeight="1" x14ac:dyDescent="0.4">
      <c r="B64" s="267" t="s">
        <v>651</v>
      </c>
      <c r="C64" s="267"/>
      <c r="D64" s="267"/>
      <c r="E64" s="267"/>
      <c r="F64" s="19"/>
      <c r="G64" s="8"/>
      <c r="H64" s="8"/>
      <c r="I64" s="8"/>
      <c r="J64" s="8"/>
      <c r="K64" s="8"/>
    </row>
    <row r="65" spans="2:11" ht="14.15" customHeight="1" thickBot="1" x14ac:dyDescent="0.45">
      <c r="B65" s="19" t="s">
        <v>245</v>
      </c>
      <c r="C65" s="8"/>
      <c r="D65" s="8"/>
      <c r="E65" s="8"/>
      <c r="F65" s="19"/>
      <c r="G65" s="19"/>
      <c r="H65" s="19"/>
      <c r="I65" s="19"/>
      <c r="J65" s="19"/>
      <c r="K65" s="19"/>
    </row>
    <row r="66" spans="2:11" ht="18" customHeight="1" thickBot="1" x14ac:dyDescent="0.45">
      <c r="B66" s="469" t="s">
        <v>311</v>
      </c>
      <c r="C66" s="470"/>
      <c r="D66" s="470"/>
      <c r="E66" s="471"/>
      <c r="F66" s="209" t="s">
        <v>123</v>
      </c>
      <c r="G66" s="19"/>
      <c r="H66" s="19"/>
      <c r="I66" s="19"/>
      <c r="J66" s="19"/>
      <c r="K66" s="19"/>
    </row>
    <row r="67" spans="2:11" ht="15" customHeight="1" thickBot="1" x14ac:dyDescent="0.45">
      <c r="B67" s="329" t="s">
        <v>652</v>
      </c>
      <c r="C67" s="330" t="s">
        <v>7</v>
      </c>
      <c r="D67" s="325" t="s">
        <v>245</v>
      </c>
      <c r="E67" s="325"/>
      <c r="F67" s="327">
        <v>1000</v>
      </c>
      <c r="G67" s="41"/>
      <c r="H67" s="41"/>
      <c r="I67" s="8"/>
      <c r="J67" s="201"/>
      <c r="K67" s="8"/>
    </row>
    <row r="68" spans="2:11" ht="15" customHeight="1" thickBot="1" x14ac:dyDescent="0.45">
      <c r="B68" s="329" t="s">
        <v>652</v>
      </c>
      <c r="C68" s="330">
        <v>10</v>
      </c>
      <c r="D68" s="325"/>
      <c r="E68" s="325"/>
      <c r="F68" s="327">
        <v>1000</v>
      </c>
      <c r="G68" s="41"/>
      <c r="H68" s="41"/>
      <c r="I68" s="8"/>
      <c r="J68" s="201"/>
      <c r="K68" s="8"/>
    </row>
    <row r="69" spans="2:11" ht="15" customHeight="1" thickBot="1" x14ac:dyDescent="0.45">
      <c r="B69" s="388" t="s">
        <v>652</v>
      </c>
      <c r="C69" s="331">
        <v>17</v>
      </c>
      <c r="D69" s="326"/>
      <c r="E69" s="326"/>
      <c r="F69" s="328">
        <v>1000</v>
      </c>
      <c r="G69" s="41"/>
      <c r="H69" s="41"/>
      <c r="I69" s="8"/>
      <c r="J69" s="201"/>
      <c r="K69" s="8"/>
    </row>
    <row r="70" spans="2:11" ht="8.15" customHeight="1" x14ac:dyDescent="0.4">
      <c r="B70" s="210"/>
      <c r="C70" s="211"/>
      <c r="D70" s="212" t="s">
        <v>245</v>
      </c>
      <c r="E70" s="212"/>
      <c r="F70" s="213"/>
      <c r="G70" s="10"/>
      <c r="H70" s="10"/>
      <c r="I70" s="21"/>
      <c r="J70" s="201"/>
      <c r="K70" s="10"/>
    </row>
    <row r="71" spans="2:11" ht="14.15" customHeight="1" thickBot="1" x14ac:dyDescent="0.45">
      <c r="B71" s="466" t="s">
        <v>296</v>
      </c>
      <c r="C71" s="467"/>
      <c r="D71" s="467"/>
      <c r="E71" s="214"/>
      <c r="F71" s="215">
        <f>SUM(F67:F69)</f>
        <v>3000</v>
      </c>
      <c r="G71" s="10"/>
      <c r="H71" s="10"/>
      <c r="I71" s="21"/>
      <c r="J71" s="203"/>
      <c r="K71" s="10"/>
    </row>
    <row r="72" spans="2:11" ht="15.45" x14ac:dyDescent="0.4">
      <c r="B72" s="26"/>
      <c r="C72" s="8"/>
      <c r="D72" s="8"/>
      <c r="E72" s="8"/>
      <c r="F72" s="8"/>
      <c r="G72" s="10"/>
      <c r="H72" s="10"/>
      <c r="I72" s="27"/>
      <c r="J72" s="27"/>
      <c r="K72" s="10"/>
    </row>
    <row r="73" spans="2:11" ht="15.45" x14ac:dyDescent="0.4">
      <c r="B73" s="25"/>
      <c r="C73" s="8"/>
      <c r="D73" s="8"/>
      <c r="E73" s="8"/>
      <c r="F73" s="8"/>
      <c r="G73" s="41"/>
      <c r="H73" s="41"/>
      <c r="I73" s="21"/>
      <c r="J73" s="27"/>
      <c r="K73" s="10"/>
    </row>
    <row r="74" spans="2:11" ht="15.45" x14ac:dyDescent="0.4">
      <c r="B74" s="26"/>
      <c r="C74" s="8"/>
      <c r="D74" s="6"/>
      <c r="E74" s="6"/>
      <c r="F74" s="8"/>
      <c r="G74" s="10"/>
      <c r="H74" s="10"/>
      <c r="I74" s="10"/>
      <c r="J74" s="8"/>
      <c r="K74" s="10"/>
    </row>
    <row r="75" spans="2:11" ht="15.45" x14ac:dyDescent="0.4">
      <c r="F75" s="8"/>
      <c r="I75" s="27"/>
    </row>
  </sheetData>
  <mergeCells count="9">
    <mergeCell ref="B66:E66"/>
    <mergeCell ref="B71:D71"/>
    <mergeCell ref="B7:L7"/>
    <mergeCell ref="F9:J9"/>
    <mergeCell ref="G11:G12"/>
    <mergeCell ref="H11:H12"/>
    <mergeCell ref="I11:I12"/>
    <mergeCell ref="J11:K11"/>
    <mergeCell ref="L11:L12"/>
  </mergeCells>
  <pageMargins left="0.2" right="0.2" top="0.25" bottom="0.25" header="0.3" footer="0.3"/>
  <pageSetup paperSize="9" scale="75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AC73F7-F8FE-441C-88B9-1B137F7EA4C5}">
  <dimension ref="B1:S110"/>
  <sheetViews>
    <sheetView topLeftCell="A61" workbookViewId="0">
      <selection activeCell="H72" sqref="H72"/>
    </sheetView>
  </sheetViews>
  <sheetFormatPr defaultRowHeight="14.6" x14ac:dyDescent="0.4"/>
  <cols>
    <col min="1" max="1" width="1.53515625" customWidth="1"/>
    <col min="2" max="2" width="1.3046875" customWidth="1"/>
    <col min="3" max="3" width="16.69140625" customWidth="1"/>
    <col min="4" max="4" width="0.53515625" customWidth="1"/>
    <col min="5" max="5" width="12.3046875" customWidth="1"/>
    <col min="6" max="6" width="1.4609375" customWidth="1"/>
    <col min="7" max="7" width="12" customWidth="1"/>
    <col min="8" max="8" width="19.07421875" customWidth="1"/>
    <col min="9" max="9" width="16.53515625" customWidth="1"/>
    <col min="10" max="10" width="15.53515625" customWidth="1"/>
    <col min="11" max="11" width="16.07421875" customWidth="1"/>
    <col min="12" max="12" width="3" customWidth="1"/>
    <col min="13" max="13" width="17.84375" customWidth="1"/>
    <col min="14" max="14" width="1" customWidth="1"/>
    <col min="15" max="15" width="12.84375" customWidth="1"/>
    <col min="16" max="16" width="9.53515625" bestFit="1" customWidth="1"/>
    <col min="17" max="17" width="9.84375" customWidth="1"/>
  </cols>
  <sheetData>
    <row r="1" spans="3:15" ht="6" customHeight="1" x14ac:dyDescent="0.4"/>
    <row r="2" spans="3:15" ht="6" customHeight="1" x14ac:dyDescent="0.4"/>
    <row r="3" spans="3:15" ht="6" customHeight="1" x14ac:dyDescent="0.4"/>
    <row r="4" spans="3:15" ht="20.149999999999999" customHeight="1" x14ac:dyDescent="0.4">
      <c r="C4" s="476" t="s">
        <v>0</v>
      </c>
      <c r="D4" s="476"/>
      <c r="E4" s="476"/>
      <c r="F4" s="476"/>
      <c r="G4" s="476"/>
      <c r="H4" s="476"/>
      <c r="I4" s="476"/>
      <c r="J4" s="476"/>
      <c r="K4" s="476"/>
      <c r="L4" s="476"/>
      <c r="M4" s="476"/>
      <c r="N4" s="476"/>
    </row>
    <row r="5" spans="3:15" ht="20.149999999999999" customHeight="1" x14ac:dyDescent="0.45">
      <c r="C5" s="492" t="s">
        <v>333</v>
      </c>
      <c r="D5" s="492"/>
      <c r="E5" s="492"/>
      <c r="F5" s="492"/>
      <c r="G5" s="492"/>
      <c r="H5" s="492"/>
      <c r="I5" s="492"/>
      <c r="J5" s="492"/>
      <c r="K5" s="492"/>
      <c r="L5" s="492"/>
      <c r="M5" s="492"/>
      <c r="N5" s="243"/>
    </row>
    <row r="6" spans="3:15" ht="20.149999999999999" customHeight="1" x14ac:dyDescent="0.45">
      <c r="C6" s="492" t="s">
        <v>245</v>
      </c>
      <c r="D6" s="492"/>
      <c r="E6" s="492"/>
      <c r="F6" s="492"/>
      <c r="G6" s="492"/>
      <c r="H6" s="492"/>
      <c r="I6" s="492"/>
      <c r="J6" s="492"/>
      <c r="K6" s="492"/>
      <c r="L6" s="492"/>
      <c r="M6" s="492"/>
      <c r="N6" s="243"/>
    </row>
    <row r="7" spans="3:15" ht="20.149999999999999" customHeight="1" x14ac:dyDescent="0.45">
      <c r="C7" s="476" t="s">
        <v>318</v>
      </c>
      <c r="D7" s="476"/>
      <c r="E7" s="476"/>
      <c r="F7" s="476"/>
      <c r="G7" s="476"/>
      <c r="H7" s="476"/>
      <c r="I7" s="476"/>
      <c r="J7" s="476"/>
      <c r="K7" s="476"/>
      <c r="L7" s="476"/>
      <c r="M7" s="476"/>
      <c r="N7" s="243"/>
    </row>
    <row r="8" spans="3:15" ht="20.149999999999999" customHeight="1" x14ac:dyDescent="0.45">
      <c r="C8" s="476" t="s">
        <v>658</v>
      </c>
      <c r="D8" s="476"/>
      <c r="E8" s="476"/>
      <c r="F8" s="476"/>
      <c r="G8" s="476"/>
      <c r="H8" s="476"/>
      <c r="I8" s="476"/>
      <c r="J8" s="476"/>
      <c r="K8" s="476"/>
      <c r="L8" s="476"/>
      <c r="M8" s="476"/>
      <c r="N8" s="221"/>
    </row>
    <row r="9" spans="3:15" ht="20.149999999999999" customHeight="1" x14ac:dyDescent="0.45">
      <c r="C9" s="238"/>
      <c r="D9" s="238"/>
      <c r="E9" s="238"/>
      <c r="F9" s="238"/>
      <c r="G9" s="238"/>
      <c r="H9" s="238"/>
      <c r="I9" s="238"/>
      <c r="J9" s="238"/>
      <c r="K9" s="238"/>
      <c r="L9" s="238"/>
      <c r="M9" s="238"/>
      <c r="N9" s="221"/>
    </row>
    <row r="10" spans="3:15" ht="20.149999999999999" customHeight="1" x14ac:dyDescent="0.45">
      <c r="C10" s="238"/>
      <c r="D10" s="238"/>
      <c r="E10" s="238"/>
      <c r="F10" s="238"/>
      <c r="G10" s="238"/>
      <c r="H10" s="238"/>
      <c r="I10" s="238"/>
      <c r="J10" s="238"/>
      <c r="K10" s="238"/>
      <c r="L10" s="238"/>
      <c r="M10" s="238"/>
      <c r="N10" s="221"/>
    </row>
    <row r="11" spans="3:15" ht="15" customHeight="1" x14ac:dyDescent="0.4"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</row>
    <row r="12" spans="3:15" ht="15" customHeight="1" x14ac:dyDescent="0.45">
      <c r="C12" s="220" t="s">
        <v>659</v>
      </c>
      <c r="D12" s="221"/>
      <c r="E12" s="221"/>
      <c r="F12" s="221"/>
      <c r="G12" s="221"/>
      <c r="H12" s="221"/>
      <c r="I12" s="221"/>
      <c r="J12" s="221"/>
      <c r="K12" s="221"/>
      <c r="L12" s="247" t="s">
        <v>326</v>
      </c>
      <c r="M12" s="219">
        <v>577.77000000000044</v>
      </c>
      <c r="N12" s="8"/>
      <c r="O12" s="135" t="s">
        <v>245</v>
      </c>
    </row>
    <row r="13" spans="3:15" ht="15" customHeight="1" x14ac:dyDescent="0.45">
      <c r="C13" s="221"/>
      <c r="D13" s="221"/>
      <c r="E13" s="221"/>
      <c r="F13" s="221"/>
      <c r="G13" s="221"/>
      <c r="H13" s="221"/>
      <c r="I13" s="221"/>
      <c r="J13" s="221"/>
      <c r="K13" s="221"/>
      <c r="L13" s="8"/>
      <c r="M13" s="8"/>
      <c r="N13" s="8"/>
    </row>
    <row r="14" spans="3:15" ht="15" customHeight="1" x14ac:dyDescent="0.45">
      <c r="C14" s="220" t="s">
        <v>660</v>
      </c>
      <c r="D14" s="220"/>
      <c r="E14" s="221"/>
      <c r="F14" s="221"/>
      <c r="G14" s="221"/>
      <c r="H14" s="221"/>
      <c r="I14" s="221"/>
      <c r="J14" s="221"/>
      <c r="K14" s="221"/>
      <c r="L14" s="8"/>
      <c r="M14" s="8"/>
      <c r="N14" s="8"/>
    </row>
    <row r="15" spans="3:15" ht="15" customHeight="1" x14ac:dyDescent="0.45">
      <c r="C15" s="221"/>
      <c r="D15" s="221"/>
      <c r="E15" s="221"/>
      <c r="F15" s="221"/>
      <c r="G15" s="221"/>
      <c r="H15" s="221"/>
      <c r="I15" s="226" t="s">
        <v>245</v>
      </c>
      <c r="J15" s="226"/>
      <c r="K15" s="226" t="s">
        <v>245</v>
      </c>
      <c r="L15" s="19"/>
      <c r="M15" s="8"/>
      <c r="N15" s="8"/>
    </row>
    <row r="16" spans="3:15" ht="15" customHeight="1" x14ac:dyDescent="0.45">
      <c r="C16" s="476" t="s">
        <v>305</v>
      </c>
      <c r="D16" s="476"/>
      <c r="E16" s="476"/>
      <c r="F16" s="221"/>
      <c r="G16" s="221" t="s">
        <v>320</v>
      </c>
      <c r="H16" s="221"/>
      <c r="I16" s="226"/>
      <c r="J16" s="226"/>
      <c r="K16" s="226"/>
      <c r="L16" s="19"/>
      <c r="M16" s="8"/>
      <c r="N16" s="8"/>
    </row>
    <row r="17" spans="3:15" ht="15" customHeight="1" x14ac:dyDescent="0.45">
      <c r="C17" s="238"/>
      <c r="D17" s="238"/>
      <c r="E17" s="238"/>
      <c r="F17" s="221"/>
      <c r="G17" s="221"/>
      <c r="H17" s="221"/>
      <c r="I17" s="226"/>
      <c r="J17" s="226"/>
      <c r="K17" s="226"/>
      <c r="L17" s="19"/>
      <c r="M17" s="8"/>
      <c r="N17" s="8"/>
    </row>
    <row r="18" spans="3:15" ht="15" customHeight="1" x14ac:dyDescent="0.45">
      <c r="C18" s="476" t="s">
        <v>245</v>
      </c>
      <c r="D18" s="476"/>
      <c r="E18" s="476"/>
      <c r="F18" s="221"/>
      <c r="G18" s="221"/>
      <c r="H18" s="239" t="s">
        <v>316</v>
      </c>
      <c r="I18" s="239" t="s">
        <v>2</v>
      </c>
      <c r="J18" s="239" t="s">
        <v>407</v>
      </c>
      <c r="K18" s="239" t="s">
        <v>306</v>
      </c>
      <c r="L18" s="19"/>
      <c r="M18" s="8"/>
      <c r="N18" s="8"/>
    </row>
    <row r="19" spans="3:15" ht="15" customHeight="1" x14ac:dyDescent="0.45">
      <c r="C19" s="221"/>
      <c r="D19" s="221"/>
      <c r="E19" s="226" t="s">
        <v>245</v>
      </c>
      <c r="F19" s="226"/>
      <c r="G19" s="240" t="s">
        <v>245</v>
      </c>
      <c r="H19" s="222" t="s">
        <v>245</v>
      </c>
      <c r="I19" s="241" t="s">
        <v>245</v>
      </c>
      <c r="J19" s="241"/>
      <c r="K19" s="230" t="s">
        <v>245</v>
      </c>
      <c r="L19" s="201"/>
      <c r="M19" s="8"/>
      <c r="N19" s="8"/>
    </row>
    <row r="20" spans="3:15" ht="20.149999999999999" customHeight="1" x14ac:dyDescent="0.45">
      <c r="C20" s="221"/>
      <c r="D20" s="221"/>
      <c r="E20" s="226" t="s">
        <v>148</v>
      </c>
      <c r="F20" s="226"/>
      <c r="G20" s="240" t="s">
        <v>154</v>
      </c>
      <c r="H20" s="222">
        <v>2139</v>
      </c>
      <c r="I20" s="222">
        <v>300</v>
      </c>
      <c r="J20" s="222">
        <v>0</v>
      </c>
      <c r="K20" s="222">
        <f>H20-I20-J20</f>
        <v>1839</v>
      </c>
      <c r="L20" s="216"/>
      <c r="M20" s="8"/>
      <c r="N20" s="8"/>
    </row>
    <row r="21" spans="3:15" ht="20.149999999999999" customHeight="1" x14ac:dyDescent="0.45">
      <c r="C21" s="221"/>
      <c r="D21" s="221"/>
      <c r="E21" s="226" t="s">
        <v>148</v>
      </c>
      <c r="F21" s="226"/>
      <c r="G21" s="240" t="s">
        <v>16</v>
      </c>
      <c r="H21" s="222">
        <v>2021</v>
      </c>
      <c r="I21" s="222">
        <v>300</v>
      </c>
      <c r="J21" s="222">
        <v>0</v>
      </c>
      <c r="K21" s="222">
        <f t="shared" ref="K21:K32" si="0">H21-I21-J21</f>
        <v>1721</v>
      </c>
      <c r="L21" s="216"/>
      <c r="M21" s="8"/>
      <c r="N21" s="8"/>
    </row>
    <row r="22" spans="3:15" ht="20.149999999999999" customHeight="1" x14ac:dyDescent="0.45">
      <c r="C22" s="221"/>
      <c r="D22" s="221"/>
      <c r="E22" s="226" t="s">
        <v>148</v>
      </c>
      <c r="F22" s="226"/>
      <c r="G22" s="240" t="s">
        <v>150</v>
      </c>
      <c r="H22" s="222">
        <v>3157</v>
      </c>
      <c r="I22" s="222"/>
      <c r="J22" s="222">
        <v>0</v>
      </c>
      <c r="K22" s="222">
        <f t="shared" si="0"/>
        <v>3157</v>
      </c>
      <c r="L22" s="216"/>
      <c r="M22" s="8"/>
      <c r="N22" s="8"/>
    </row>
    <row r="23" spans="3:15" ht="20.149999999999999" customHeight="1" x14ac:dyDescent="0.45">
      <c r="C23" s="221"/>
      <c r="D23" s="221"/>
      <c r="E23" s="226" t="s">
        <v>148</v>
      </c>
      <c r="F23" s="226"/>
      <c r="G23" s="240">
        <f>1+G22</f>
        <v>16</v>
      </c>
      <c r="H23" s="222">
        <v>1513</v>
      </c>
      <c r="I23" s="222"/>
      <c r="J23" s="222">
        <v>0</v>
      </c>
      <c r="K23" s="222">
        <f t="shared" si="0"/>
        <v>1513</v>
      </c>
      <c r="L23" s="216"/>
      <c r="M23" s="8"/>
      <c r="N23" s="8"/>
    </row>
    <row r="24" spans="3:15" ht="20.149999999999999" customHeight="1" x14ac:dyDescent="0.45">
      <c r="C24" s="221"/>
      <c r="D24" s="221"/>
      <c r="E24" s="226" t="s">
        <v>148</v>
      </c>
      <c r="F24" s="226"/>
      <c r="G24" s="240">
        <f t="shared" ref="G24:G30" si="1">1+G23</f>
        <v>17</v>
      </c>
      <c r="H24" s="222">
        <v>1731</v>
      </c>
      <c r="I24" s="222"/>
      <c r="J24" s="222">
        <v>0</v>
      </c>
      <c r="K24" s="222">
        <f t="shared" si="0"/>
        <v>1731</v>
      </c>
      <c r="L24" s="216"/>
      <c r="M24" s="8"/>
      <c r="N24" s="8"/>
    </row>
    <row r="25" spans="3:15" ht="20.149999999999999" customHeight="1" x14ac:dyDescent="0.45">
      <c r="C25" s="221"/>
      <c r="D25" s="221"/>
      <c r="E25" s="226" t="s">
        <v>148</v>
      </c>
      <c r="F25" s="226"/>
      <c r="G25" s="240">
        <f t="shared" si="1"/>
        <v>18</v>
      </c>
      <c r="H25" s="222">
        <v>1063</v>
      </c>
      <c r="I25" s="222">
        <v>500</v>
      </c>
      <c r="J25" s="222">
        <v>0</v>
      </c>
      <c r="K25" s="222">
        <f t="shared" si="0"/>
        <v>563</v>
      </c>
      <c r="L25" s="216"/>
      <c r="M25" s="8"/>
      <c r="N25" s="8"/>
    </row>
    <row r="26" spans="3:15" ht="20.149999999999999" customHeight="1" x14ac:dyDescent="0.45">
      <c r="C26" s="221"/>
      <c r="D26" s="221"/>
      <c r="E26" s="226" t="s">
        <v>148</v>
      </c>
      <c r="F26" s="226"/>
      <c r="G26" s="240">
        <f t="shared" si="1"/>
        <v>19</v>
      </c>
      <c r="H26" s="222">
        <v>1759</v>
      </c>
      <c r="I26" s="222"/>
      <c r="J26" s="222">
        <v>0</v>
      </c>
      <c r="K26" s="222">
        <f t="shared" si="0"/>
        <v>1759</v>
      </c>
      <c r="L26" s="216"/>
      <c r="M26" s="8"/>
      <c r="N26" s="8"/>
    </row>
    <row r="27" spans="3:15" ht="20.149999999999999" customHeight="1" x14ac:dyDescent="0.45">
      <c r="C27" s="221"/>
      <c r="D27" s="221"/>
      <c r="E27" s="226" t="s">
        <v>148</v>
      </c>
      <c r="F27" s="226"/>
      <c r="G27" s="240">
        <f t="shared" si="1"/>
        <v>20</v>
      </c>
      <c r="H27" s="222">
        <v>1774</v>
      </c>
      <c r="I27" s="222"/>
      <c r="J27" s="222">
        <v>0</v>
      </c>
      <c r="K27" s="222">
        <f t="shared" si="0"/>
        <v>1774</v>
      </c>
      <c r="L27" s="216"/>
      <c r="M27" s="8"/>
      <c r="N27" s="8"/>
    </row>
    <row r="28" spans="3:15" ht="20.149999999999999" customHeight="1" x14ac:dyDescent="0.45">
      <c r="C28" s="221"/>
      <c r="D28" s="221"/>
      <c r="E28" s="226" t="s">
        <v>148</v>
      </c>
      <c r="F28" s="226"/>
      <c r="G28" s="240">
        <f t="shared" si="1"/>
        <v>21</v>
      </c>
      <c r="H28" s="222">
        <v>1447</v>
      </c>
      <c r="I28" s="222"/>
      <c r="J28" s="222">
        <v>0</v>
      </c>
      <c r="K28" s="222">
        <f t="shared" si="0"/>
        <v>1447</v>
      </c>
      <c r="L28" s="216"/>
      <c r="M28" s="8"/>
      <c r="N28" s="8"/>
    </row>
    <row r="29" spans="3:15" ht="20.149999999999999" customHeight="1" x14ac:dyDescent="0.45">
      <c r="C29" s="221"/>
      <c r="D29" s="221"/>
      <c r="E29" s="226" t="s">
        <v>148</v>
      </c>
      <c r="F29" s="226"/>
      <c r="G29" s="240">
        <f t="shared" si="1"/>
        <v>22</v>
      </c>
      <c r="H29" s="222">
        <v>3316</v>
      </c>
      <c r="I29" s="222"/>
      <c r="J29" s="222">
        <v>0</v>
      </c>
      <c r="K29" s="222">
        <f t="shared" si="0"/>
        <v>3316</v>
      </c>
      <c r="L29" s="216"/>
      <c r="M29" s="8"/>
      <c r="N29" s="8"/>
    </row>
    <row r="30" spans="3:15" ht="20.149999999999999" customHeight="1" x14ac:dyDescent="0.45">
      <c r="C30" s="221"/>
      <c r="D30" s="221"/>
      <c r="E30" s="226" t="s">
        <v>148</v>
      </c>
      <c r="F30" s="226"/>
      <c r="G30" s="240">
        <f t="shared" si="1"/>
        <v>23</v>
      </c>
      <c r="H30" s="222">
        <v>1806</v>
      </c>
      <c r="I30" s="222"/>
      <c r="J30" s="222">
        <v>0</v>
      </c>
      <c r="K30" s="222">
        <f t="shared" si="0"/>
        <v>1806</v>
      </c>
      <c r="L30" s="216"/>
      <c r="M30" s="8"/>
      <c r="N30" s="8"/>
    </row>
    <row r="31" spans="3:15" ht="20.149999999999999" customHeight="1" x14ac:dyDescent="0.45">
      <c r="C31" s="221"/>
      <c r="D31" s="221"/>
      <c r="E31" s="226" t="s">
        <v>148</v>
      </c>
      <c r="F31" s="226"/>
      <c r="G31" s="240">
        <v>25</v>
      </c>
      <c r="H31" s="222">
        <v>1631</v>
      </c>
      <c r="I31" s="222"/>
      <c r="J31" s="222">
        <v>0</v>
      </c>
      <c r="K31" s="222">
        <f t="shared" si="0"/>
        <v>1631</v>
      </c>
      <c r="L31" s="216"/>
      <c r="M31" s="8"/>
      <c r="N31" s="8"/>
    </row>
    <row r="32" spans="3:15" ht="20.149999999999999" customHeight="1" x14ac:dyDescent="0.75">
      <c r="C32" s="221"/>
      <c r="D32" s="221"/>
      <c r="E32" s="226" t="s">
        <v>148</v>
      </c>
      <c r="F32" s="226"/>
      <c r="G32" s="240">
        <v>29</v>
      </c>
      <c r="H32" s="265">
        <v>1104</v>
      </c>
      <c r="I32" s="266">
        <v>600</v>
      </c>
      <c r="J32" s="266">
        <v>0</v>
      </c>
      <c r="K32" s="266">
        <f t="shared" si="0"/>
        <v>504</v>
      </c>
      <c r="L32" s="216"/>
      <c r="M32" s="8"/>
      <c r="N32" s="8"/>
      <c r="O32" s="272"/>
    </row>
    <row r="33" spans="3:16" ht="20.149999999999999" hidden="1" customHeight="1" x14ac:dyDescent="0.45">
      <c r="C33" s="221"/>
      <c r="D33" s="221"/>
      <c r="E33" s="336" t="s">
        <v>67</v>
      </c>
      <c r="F33" s="226"/>
      <c r="G33" s="240">
        <v>18</v>
      </c>
      <c r="H33" s="337">
        <v>0</v>
      </c>
      <c r="I33" s="222">
        <v>0</v>
      </c>
      <c r="J33" s="222">
        <v>0</v>
      </c>
      <c r="K33" s="222">
        <f>H33-I33</f>
        <v>0</v>
      </c>
      <c r="L33" s="216"/>
      <c r="M33" s="8"/>
      <c r="N33" s="8"/>
      <c r="O33" s="272"/>
    </row>
    <row r="34" spans="3:16" ht="20.149999999999999" hidden="1" customHeight="1" x14ac:dyDescent="0.45">
      <c r="C34" s="221"/>
      <c r="D34" s="221"/>
      <c r="E34" s="336" t="s">
        <v>67</v>
      </c>
      <c r="F34" s="226"/>
      <c r="G34" s="240">
        <v>19</v>
      </c>
      <c r="H34" s="337">
        <v>0</v>
      </c>
      <c r="I34" s="222">
        <v>0</v>
      </c>
      <c r="J34" s="222">
        <v>0</v>
      </c>
      <c r="K34" s="222">
        <f>H34-I34</f>
        <v>0</v>
      </c>
      <c r="L34" s="216"/>
      <c r="M34" s="8"/>
      <c r="N34" s="8"/>
      <c r="O34" s="272"/>
    </row>
    <row r="35" spans="3:16" ht="20.149999999999999" hidden="1" customHeight="1" x14ac:dyDescent="0.45">
      <c r="C35" s="221"/>
      <c r="D35" s="221"/>
      <c r="E35" s="226" t="s">
        <v>67</v>
      </c>
      <c r="F35" s="226"/>
      <c r="G35" s="240">
        <v>20</v>
      </c>
      <c r="H35" s="223">
        <v>0</v>
      </c>
      <c r="I35" s="222">
        <v>0</v>
      </c>
      <c r="J35" s="222">
        <v>0</v>
      </c>
      <c r="K35" s="222">
        <f>H35-I35</f>
        <v>0</v>
      </c>
      <c r="L35" s="216"/>
      <c r="M35" s="8"/>
      <c r="N35" s="8"/>
    </row>
    <row r="36" spans="3:16" ht="20.149999999999999" hidden="1" customHeight="1" x14ac:dyDescent="0.75">
      <c r="C36" s="221"/>
      <c r="D36" s="221"/>
      <c r="E36" s="226" t="s">
        <v>67</v>
      </c>
      <c r="F36" s="226"/>
      <c r="G36" s="240">
        <v>27</v>
      </c>
      <c r="H36" s="265">
        <v>0</v>
      </c>
      <c r="I36" s="266">
        <v>0</v>
      </c>
      <c r="J36" s="266">
        <v>0</v>
      </c>
      <c r="K36" s="266">
        <f>H36-I36</f>
        <v>0</v>
      </c>
      <c r="L36" s="216"/>
      <c r="M36" s="44" t="s">
        <v>245</v>
      </c>
      <c r="N36" s="8"/>
      <c r="O36" t="s">
        <v>355</v>
      </c>
    </row>
    <row r="37" spans="3:16" ht="15" customHeight="1" x14ac:dyDescent="0.45">
      <c r="C37" s="221"/>
      <c r="D37" s="221"/>
      <c r="E37" s="226"/>
      <c r="F37" s="226"/>
      <c r="G37" s="240"/>
      <c r="H37" s="223"/>
      <c r="I37" s="222"/>
      <c r="J37" s="222"/>
      <c r="K37" s="222"/>
      <c r="L37" s="216"/>
      <c r="M37" s="44"/>
      <c r="N37" s="8"/>
    </row>
    <row r="38" spans="3:16" ht="15" customHeight="1" x14ac:dyDescent="0.45">
      <c r="C38" s="221"/>
      <c r="D38" s="221"/>
      <c r="E38" s="238" t="s">
        <v>65</v>
      </c>
      <c r="F38" s="221"/>
      <c r="G38" s="226"/>
      <c r="H38" s="288">
        <f>SUM(H20:H36)</f>
        <v>24461</v>
      </c>
      <c r="I38" s="296">
        <f>SUM(I20:I36)</f>
        <v>1700</v>
      </c>
      <c r="J38" s="288">
        <f>SUM(J20:J36)</f>
        <v>0</v>
      </c>
      <c r="K38" s="248">
        <f>SUM(K20:K36)</f>
        <v>22761</v>
      </c>
      <c r="L38" s="218"/>
      <c r="M38" s="44" t="s">
        <v>245</v>
      </c>
      <c r="N38" s="8"/>
      <c r="O38" s="7">
        <f>H38-I38</f>
        <v>22761</v>
      </c>
      <c r="P38" s="135" t="s">
        <v>245</v>
      </c>
    </row>
    <row r="39" spans="3:16" ht="15" customHeight="1" x14ac:dyDescent="0.45">
      <c r="C39" s="221"/>
      <c r="D39" s="221"/>
      <c r="E39" s="221"/>
      <c r="F39" s="221"/>
      <c r="G39" s="226"/>
      <c r="H39" s="224"/>
      <c r="I39" s="222"/>
      <c r="J39" s="222"/>
      <c r="K39" s="222"/>
      <c r="L39" s="216"/>
      <c r="M39" s="44"/>
      <c r="N39" s="8"/>
    </row>
    <row r="40" spans="3:16" ht="15.75" customHeight="1" x14ac:dyDescent="0.45">
      <c r="C40" s="220" t="s">
        <v>245</v>
      </c>
      <c r="D40" s="221"/>
      <c r="E40" s="221"/>
      <c r="F40" s="221"/>
      <c r="G40" s="226"/>
      <c r="H40" s="224"/>
      <c r="I40" s="222"/>
      <c r="J40" s="222"/>
      <c r="K40" s="248" t="s">
        <v>245</v>
      </c>
      <c r="L40" s="216"/>
      <c r="M40" s="44"/>
      <c r="N40" s="8"/>
    </row>
    <row r="41" spans="3:16" ht="15" customHeight="1" x14ac:dyDescent="0.45">
      <c r="C41" s="221"/>
      <c r="D41" s="221"/>
      <c r="E41" s="221"/>
      <c r="F41" s="221"/>
      <c r="G41" s="226"/>
      <c r="H41" s="224"/>
      <c r="I41" s="222"/>
      <c r="J41" s="222"/>
      <c r="K41" s="222"/>
      <c r="L41" s="216"/>
      <c r="M41" s="44"/>
      <c r="N41" s="8"/>
    </row>
    <row r="42" spans="3:16" ht="15" customHeight="1" x14ac:dyDescent="0.45">
      <c r="C42" s="220" t="s">
        <v>748</v>
      </c>
      <c r="D42" s="220"/>
      <c r="E42" s="220"/>
      <c r="F42" s="220"/>
      <c r="G42" s="220"/>
      <c r="H42" s="220"/>
      <c r="I42" s="220"/>
      <c r="J42" s="297"/>
      <c r="K42" s="219" t="s">
        <v>245</v>
      </c>
      <c r="L42" s="219"/>
      <c r="M42" s="225" t="s">
        <v>245</v>
      </c>
      <c r="N42" s="8"/>
    </row>
    <row r="43" spans="3:16" ht="15" customHeight="1" x14ac:dyDescent="0.45">
      <c r="C43" s="220"/>
      <c r="D43" s="221"/>
      <c r="E43" s="221"/>
      <c r="F43" s="221"/>
      <c r="G43" s="221"/>
      <c r="H43" s="226"/>
      <c r="I43" s="230"/>
      <c r="J43" s="230"/>
      <c r="K43" s="219"/>
      <c r="L43" s="219"/>
      <c r="M43" s="225"/>
      <c r="N43" s="8"/>
    </row>
    <row r="44" spans="3:16" ht="22.95" customHeight="1" x14ac:dyDescent="0.45">
      <c r="C44" s="220"/>
      <c r="D44" s="221"/>
      <c r="E44" s="220" t="s">
        <v>674</v>
      </c>
      <c r="F44" s="220"/>
      <c r="G44" s="220"/>
      <c r="H44" s="220"/>
      <c r="I44" s="230"/>
      <c r="J44" s="230"/>
      <c r="K44" s="333">
        <f>'Dec-2024-Sched A'!I102</f>
        <v>4450</v>
      </c>
      <c r="L44" s="219"/>
      <c r="M44" s="231">
        <f>K44+K38</f>
        <v>27211</v>
      </c>
      <c r="N44" s="8"/>
      <c r="O44" s="304" t="s">
        <v>245</v>
      </c>
      <c r="P44" s="135" t="s">
        <v>245</v>
      </c>
    </row>
    <row r="45" spans="3:16" ht="15" customHeight="1" x14ac:dyDescent="0.75">
      <c r="C45" s="242"/>
      <c r="D45" s="236"/>
      <c r="E45" s="243"/>
      <c r="F45" s="236"/>
      <c r="G45" s="226"/>
      <c r="H45" s="226"/>
      <c r="I45" s="226"/>
      <c r="J45" s="226"/>
      <c r="K45" s="222"/>
      <c r="L45" s="222"/>
      <c r="M45" s="244"/>
      <c r="N45" s="8"/>
    </row>
    <row r="46" spans="3:16" ht="15" customHeight="1" x14ac:dyDescent="0.45">
      <c r="C46" s="220" t="s">
        <v>442</v>
      </c>
      <c r="D46" s="220"/>
      <c r="E46" s="221"/>
      <c r="F46" s="221"/>
      <c r="G46" s="221"/>
      <c r="H46" s="221"/>
      <c r="I46" s="221"/>
      <c r="J46" s="221"/>
      <c r="K46" s="221"/>
      <c r="L46" s="221"/>
      <c r="M46" s="300">
        <v>5500</v>
      </c>
      <c r="N46" s="8"/>
    </row>
    <row r="47" spans="3:16" ht="18" hidden="1" customHeight="1" x14ac:dyDescent="0.45">
      <c r="C47" s="220"/>
      <c r="D47" s="220"/>
      <c r="E47" s="354">
        <v>39356</v>
      </c>
      <c r="F47" s="221"/>
      <c r="G47" s="221"/>
      <c r="H47" s="221"/>
      <c r="I47" s="221"/>
      <c r="J47" s="221"/>
      <c r="K47" s="355">
        <v>0</v>
      </c>
      <c r="L47" s="221"/>
      <c r="M47" s="353"/>
      <c r="N47" s="8"/>
    </row>
    <row r="48" spans="3:16" ht="18" hidden="1" customHeight="1" x14ac:dyDescent="0.45">
      <c r="C48" s="220"/>
      <c r="D48" s="220"/>
      <c r="E48" s="354">
        <v>43009</v>
      </c>
      <c r="F48" s="221"/>
      <c r="G48" s="221"/>
      <c r="H48" s="221"/>
      <c r="I48" s="221"/>
      <c r="J48" s="221"/>
      <c r="K48" s="356">
        <v>0</v>
      </c>
      <c r="L48" s="221"/>
      <c r="M48" s="300">
        <f>SUM(K47:K48)</f>
        <v>0</v>
      </c>
      <c r="N48" s="8"/>
    </row>
    <row r="49" spans="3:15" ht="15" customHeight="1" x14ac:dyDescent="0.75">
      <c r="C49" s="242"/>
      <c r="D49" s="236"/>
      <c r="E49" s="243"/>
      <c r="F49" s="236"/>
      <c r="G49" s="226"/>
      <c r="H49" s="226"/>
      <c r="I49" s="226"/>
      <c r="J49" s="226"/>
      <c r="K49" s="222"/>
      <c r="L49" s="222"/>
      <c r="M49" s="244"/>
      <c r="N49" s="8"/>
    </row>
    <row r="50" spans="3:15" ht="20.149999999999999" customHeight="1" x14ac:dyDescent="0.45">
      <c r="C50" s="220" t="s">
        <v>313</v>
      </c>
      <c r="D50" s="220"/>
      <c r="E50" s="221"/>
      <c r="F50" s="221"/>
      <c r="G50" s="221"/>
      <c r="H50" s="221"/>
      <c r="I50" s="221"/>
      <c r="J50" s="221"/>
      <c r="K50" s="221"/>
      <c r="L50" s="247" t="s">
        <v>326</v>
      </c>
      <c r="M50" s="219">
        <f>M46+M44+M12</f>
        <v>33288.770000000004</v>
      </c>
      <c r="N50" s="8"/>
      <c r="O50" t="s">
        <v>245</v>
      </c>
    </row>
    <row r="51" spans="3:15" ht="13.5" customHeight="1" x14ac:dyDescent="0.45">
      <c r="C51" s="220"/>
      <c r="D51" s="220"/>
      <c r="E51" s="221"/>
      <c r="F51" s="221"/>
      <c r="G51" s="221"/>
      <c r="H51" s="221"/>
      <c r="I51" s="221"/>
      <c r="J51" s="221"/>
      <c r="K51" s="221"/>
      <c r="L51" s="221"/>
      <c r="M51" s="221"/>
      <c r="N51" s="8"/>
    </row>
    <row r="52" spans="3:15" ht="13.5" customHeight="1" x14ac:dyDescent="0.45">
      <c r="C52" s="220"/>
      <c r="D52" s="220"/>
      <c r="E52" s="221"/>
      <c r="F52" s="221"/>
      <c r="G52" s="221"/>
      <c r="H52" s="221"/>
      <c r="I52" s="221"/>
      <c r="J52" s="221"/>
      <c r="K52" s="221"/>
      <c r="L52" s="221"/>
      <c r="M52" s="221"/>
      <c r="N52" s="8"/>
    </row>
    <row r="53" spans="3:15" ht="13.5" customHeight="1" x14ac:dyDescent="0.45">
      <c r="C53" s="220"/>
      <c r="D53" s="220"/>
      <c r="E53" s="221"/>
      <c r="F53" s="221"/>
      <c r="G53" s="221"/>
      <c r="H53" s="221"/>
      <c r="I53" s="221"/>
      <c r="J53" s="221"/>
      <c r="K53" s="221"/>
      <c r="L53" s="221"/>
      <c r="M53" s="221"/>
      <c r="N53" s="8"/>
    </row>
    <row r="54" spans="3:15" ht="13.5" customHeight="1" x14ac:dyDescent="0.45">
      <c r="C54" s="220"/>
      <c r="D54" s="220"/>
      <c r="E54" s="221"/>
      <c r="F54" s="221"/>
      <c r="G54" s="221"/>
      <c r="H54" s="221"/>
      <c r="I54" s="221"/>
      <c r="J54" s="221"/>
      <c r="K54" s="221"/>
      <c r="L54" s="221"/>
      <c r="M54" s="221"/>
      <c r="N54" s="8"/>
    </row>
    <row r="55" spans="3:15" ht="13.5" customHeight="1" x14ac:dyDescent="0.45">
      <c r="C55" s="220" t="s">
        <v>697</v>
      </c>
      <c r="D55" s="220"/>
      <c r="E55" s="221"/>
      <c r="F55" s="221"/>
      <c r="G55" s="221"/>
      <c r="H55" s="221"/>
      <c r="I55" s="221"/>
      <c r="J55" s="221"/>
      <c r="K55" s="221"/>
      <c r="L55" s="221"/>
      <c r="M55" s="221"/>
      <c r="N55" s="8"/>
    </row>
    <row r="56" spans="3:15" ht="15" customHeight="1" x14ac:dyDescent="0.45">
      <c r="C56" s="221" t="s">
        <v>245</v>
      </c>
      <c r="D56" s="221"/>
      <c r="E56" s="221" t="s">
        <v>245</v>
      </c>
      <c r="F56" s="221"/>
      <c r="G56" s="221"/>
      <c r="H56" s="221"/>
      <c r="I56" s="221"/>
      <c r="J56" s="221"/>
      <c r="K56" s="221"/>
      <c r="L56" s="221"/>
      <c r="M56" s="221"/>
      <c r="N56" s="8"/>
    </row>
    <row r="57" spans="3:15" ht="15" customHeight="1" x14ac:dyDescent="0.45">
      <c r="C57" s="239" t="s">
        <v>5</v>
      </c>
      <c r="D57" s="226"/>
      <c r="E57" s="226" t="s">
        <v>257</v>
      </c>
      <c r="F57" s="226"/>
      <c r="G57" s="487" t="s">
        <v>373</v>
      </c>
      <c r="H57" s="487"/>
      <c r="I57" s="487"/>
      <c r="J57" s="236"/>
      <c r="K57" s="236" t="s">
        <v>123</v>
      </c>
      <c r="L57" s="221"/>
      <c r="M57" s="226" t="s">
        <v>245</v>
      </c>
      <c r="N57" s="19"/>
    </row>
    <row r="58" spans="3:15" ht="15" customHeight="1" x14ac:dyDescent="0.45">
      <c r="C58" s="226"/>
      <c r="D58" s="226"/>
      <c r="E58" s="226"/>
      <c r="F58" s="226"/>
      <c r="G58" s="221"/>
      <c r="H58" s="221"/>
      <c r="I58" s="221"/>
      <c r="J58" s="221"/>
      <c r="K58" s="221"/>
      <c r="L58" s="221"/>
      <c r="M58" s="226"/>
      <c r="N58" s="19"/>
    </row>
    <row r="59" spans="3:15" ht="15" customHeight="1" x14ac:dyDescent="0.45">
      <c r="C59" s="292" t="s">
        <v>698</v>
      </c>
      <c r="D59" s="226"/>
      <c r="E59" s="226"/>
      <c r="F59" s="226"/>
      <c r="G59" s="228" t="s">
        <v>714</v>
      </c>
      <c r="H59" s="221"/>
      <c r="I59" s="221"/>
      <c r="J59" s="221"/>
      <c r="K59" s="222">
        <v>300</v>
      </c>
      <c r="L59" s="221"/>
      <c r="M59" s="226"/>
      <c r="N59" s="19"/>
    </row>
    <row r="60" spans="3:15" ht="15" customHeight="1" x14ac:dyDescent="0.45">
      <c r="C60" s="292" t="s">
        <v>698</v>
      </c>
      <c r="D60" s="226"/>
      <c r="E60" s="226"/>
      <c r="F60" s="226"/>
      <c r="G60" s="228" t="s">
        <v>715</v>
      </c>
      <c r="H60" s="221"/>
      <c r="I60" s="221"/>
      <c r="J60" s="221"/>
      <c r="K60" s="222">
        <v>690</v>
      </c>
      <c r="L60" s="221"/>
      <c r="M60" s="226"/>
      <c r="N60" s="19"/>
    </row>
    <row r="61" spans="3:15" ht="15" customHeight="1" x14ac:dyDescent="0.45">
      <c r="C61" s="292" t="s">
        <v>698</v>
      </c>
      <c r="D61" s="226"/>
      <c r="E61" s="226"/>
      <c r="F61" s="226"/>
      <c r="G61" s="228" t="s">
        <v>716</v>
      </c>
      <c r="H61" s="221"/>
      <c r="I61" s="221"/>
      <c r="J61" s="221"/>
      <c r="K61" s="222">
        <v>1000</v>
      </c>
      <c r="L61" s="221"/>
      <c r="M61" s="226"/>
      <c r="N61" s="19"/>
    </row>
    <row r="62" spans="3:15" ht="15" customHeight="1" x14ac:dyDescent="0.45">
      <c r="C62" s="292" t="s">
        <v>719</v>
      </c>
      <c r="D62" s="226"/>
      <c r="E62" s="226"/>
      <c r="F62" s="226"/>
      <c r="G62" s="228" t="s">
        <v>717</v>
      </c>
      <c r="H62" s="221"/>
      <c r="I62" s="221"/>
      <c r="J62" s="221"/>
      <c r="K62" s="222">
        <v>3000</v>
      </c>
      <c r="L62" s="221"/>
      <c r="M62" s="226"/>
      <c r="N62" s="19"/>
    </row>
    <row r="63" spans="3:15" ht="20.149999999999999" customHeight="1" x14ac:dyDescent="0.45">
      <c r="C63" s="292" t="s">
        <v>720</v>
      </c>
      <c r="D63" s="226"/>
      <c r="E63" s="226"/>
      <c r="F63" s="226"/>
      <c r="G63" s="228" t="s">
        <v>718</v>
      </c>
      <c r="H63" s="221"/>
      <c r="I63" s="221"/>
      <c r="J63" s="221"/>
      <c r="K63" s="222">
        <v>260</v>
      </c>
      <c r="L63" s="222"/>
      <c r="M63" s="222"/>
      <c r="N63" s="19"/>
    </row>
    <row r="64" spans="3:15" ht="15" customHeight="1" x14ac:dyDescent="0.45">
      <c r="C64" s="292" t="s">
        <v>721</v>
      </c>
      <c r="D64" s="226"/>
      <c r="E64" s="226"/>
      <c r="F64" s="226"/>
      <c r="G64" s="228" t="s">
        <v>739</v>
      </c>
      <c r="H64" s="221"/>
      <c r="I64" s="221"/>
      <c r="J64" s="221"/>
      <c r="K64" s="222">
        <v>768.6</v>
      </c>
      <c r="L64" s="221"/>
      <c r="M64" s="226"/>
      <c r="N64" s="19"/>
    </row>
    <row r="65" spans="3:14" ht="20.149999999999999" customHeight="1" x14ac:dyDescent="0.45">
      <c r="C65" s="292" t="s">
        <v>722</v>
      </c>
      <c r="D65" s="226"/>
      <c r="E65" s="226"/>
      <c r="F65" s="226"/>
      <c r="G65" s="228" t="s">
        <v>725</v>
      </c>
      <c r="H65" s="221"/>
      <c r="I65" s="221"/>
      <c r="J65" s="221"/>
      <c r="K65" s="222">
        <v>3350</v>
      </c>
      <c r="L65" s="222"/>
      <c r="M65" s="222"/>
      <c r="N65" s="19"/>
    </row>
    <row r="66" spans="3:14" ht="20.149999999999999" customHeight="1" x14ac:dyDescent="0.45">
      <c r="C66" s="292" t="s">
        <v>723</v>
      </c>
      <c r="D66" s="226"/>
      <c r="E66" s="226"/>
      <c r="F66" s="226"/>
      <c r="G66" s="228" t="s">
        <v>702</v>
      </c>
      <c r="H66" s="221"/>
      <c r="I66" s="221"/>
      <c r="J66" s="221"/>
      <c r="K66" s="222">
        <v>704</v>
      </c>
      <c r="L66" s="222"/>
      <c r="M66" s="222"/>
      <c r="N66" s="19"/>
    </row>
    <row r="67" spans="3:14" ht="20.149999999999999" customHeight="1" x14ac:dyDescent="0.45">
      <c r="C67" s="292" t="s">
        <v>723</v>
      </c>
      <c r="D67" s="226"/>
      <c r="E67" s="226"/>
      <c r="F67" s="226"/>
      <c r="G67" s="504" t="s">
        <v>780</v>
      </c>
      <c r="H67" s="504"/>
      <c r="I67" s="504"/>
      <c r="J67" s="221"/>
      <c r="K67" s="222">
        <v>1000</v>
      </c>
      <c r="L67" s="222"/>
      <c r="M67" s="222" t="s">
        <v>245</v>
      </c>
      <c r="N67" s="19"/>
    </row>
    <row r="68" spans="3:14" ht="20.149999999999999" customHeight="1" x14ac:dyDescent="0.75">
      <c r="C68" s="292" t="s">
        <v>724</v>
      </c>
      <c r="D68" s="226"/>
      <c r="E68" s="226"/>
      <c r="F68" s="226"/>
      <c r="G68" s="228" t="s">
        <v>740</v>
      </c>
      <c r="H68" s="221"/>
      <c r="I68" s="221"/>
      <c r="J68" s="221"/>
      <c r="K68" s="222">
        <v>309</v>
      </c>
      <c r="L68" s="222"/>
      <c r="M68" s="266"/>
      <c r="N68" s="19"/>
    </row>
    <row r="69" spans="3:14" ht="20.149999999999999" customHeight="1" x14ac:dyDescent="0.75">
      <c r="C69" s="292" t="s">
        <v>724</v>
      </c>
      <c r="D69" s="226"/>
      <c r="E69" s="226"/>
      <c r="F69" s="226"/>
      <c r="G69" s="228" t="s">
        <v>751</v>
      </c>
      <c r="H69" s="221"/>
      <c r="I69" s="221"/>
      <c r="J69" s="221"/>
      <c r="K69" s="222">
        <v>198</v>
      </c>
      <c r="L69" s="222"/>
      <c r="M69" s="266"/>
      <c r="N69" s="19"/>
    </row>
    <row r="70" spans="3:14" ht="20.149999999999999" customHeight="1" x14ac:dyDescent="0.75">
      <c r="C70" s="292" t="s">
        <v>724</v>
      </c>
      <c r="D70" s="226"/>
      <c r="E70" s="226"/>
      <c r="F70" s="226"/>
      <c r="G70" s="228" t="s">
        <v>726</v>
      </c>
      <c r="H70" s="221"/>
      <c r="I70" s="221"/>
      <c r="J70" s="221"/>
      <c r="K70" s="222">
        <v>175</v>
      </c>
      <c r="L70" s="222"/>
      <c r="M70" s="266"/>
      <c r="N70" s="19"/>
    </row>
    <row r="71" spans="3:14" ht="20.149999999999999" customHeight="1" x14ac:dyDescent="0.75">
      <c r="C71" s="292" t="s">
        <v>728</v>
      </c>
      <c r="D71" s="226"/>
      <c r="E71" s="226"/>
      <c r="F71" s="226"/>
      <c r="G71" s="228" t="s">
        <v>700</v>
      </c>
      <c r="H71" s="221"/>
      <c r="I71" s="221"/>
      <c r="J71" s="221"/>
      <c r="K71" s="222">
        <f>650+730</f>
        <v>1380</v>
      </c>
      <c r="L71" s="222"/>
      <c r="M71" s="266"/>
      <c r="N71" s="19"/>
    </row>
    <row r="72" spans="3:14" ht="20.149999999999999" customHeight="1" x14ac:dyDescent="0.75">
      <c r="C72" s="292" t="s">
        <v>728</v>
      </c>
      <c r="D72" s="226"/>
      <c r="E72" s="226"/>
      <c r="F72" s="226"/>
      <c r="G72" s="228" t="s">
        <v>701</v>
      </c>
      <c r="H72" s="221"/>
      <c r="I72" s="221"/>
      <c r="J72" s="221"/>
      <c r="K72" s="222">
        <f>300+300</f>
        <v>600</v>
      </c>
      <c r="L72" s="222"/>
      <c r="M72" s="266"/>
      <c r="N72" s="19"/>
    </row>
    <row r="73" spans="3:14" ht="20.149999999999999" customHeight="1" x14ac:dyDescent="0.75">
      <c r="C73" s="292" t="s">
        <v>727</v>
      </c>
      <c r="D73" s="226"/>
      <c r="E73" s="226"/>
      <c r="F73" s="226"/>
      <c r="G73" s="228" t="s">
        <v>699</v>
      </c>
      <c r="H73" s="221"/>
      <c r="I73" s="221"/>
      <c r="J73" s="221"/>
      <c r="K73" s="222">
        <v>88</v>
      </c>
      <c r="L73" s="222"/>
      <c r="M73" s="266"/>
      <c r="N73" s="19"/>
    </row>
    <row r="74" spans="3:14" ht="20.149999999999999" customHeight="1" x14ac:dyDescent="0.75">
      <c r="C74" s="292" t="s">
        <v>727</v>
      </c>
      <c r="D74" s="226"/>
      <c r="E74" s="226"/>
      <c r="F74" s="226"/>
      <c r="G74" s="228" t="s">
        <v>741</v>
      </c>
      <c r="H74" s="221"/>
      <c r="I74" s="221"/>
      <c r="J74" s="221"/>
      <c r="K74" s="222">
        <v>2680</v>
      </c>
      <c r="L74" s="222"/>
      <c r="M74" s="266"/>
      <c r="N74" s="19"/>
    </row>
    <row r="75" spans="3:14" ht="20.149999999999999" customHeight="1" x14ac:dyDescent="0.75">
      <c r="C75" s="292" t="s">
        <v>743</v>
      </c>
      <c r="D75" s="226"/>
      <c r="E75" s="226"/>
      <c r="F75" s="226"/>
      <c r="G75" s="228" t="s">
        <v>745</v>
      </c>
      <c r="H75" s="221"/>
      <c r="I75" s="221"/>
      <c r="J75" s="221"/>
      <c r="K75" s="222">
        <v>1650</v>
      </c>
      <c r="L75" s="222"/>
      <c r="M75" s="266"/>
      <c r="N75" s="19"/>
    </row>
    <row r="76" spans="3:14" ht="20.149999999999999" customHeight="1" x14ac:dyDescent="0.75">
      <c r="C76" s="292" t="s">
        <v>729</v>
      </c>
      <c r="D76" s="226"/>
      <c r="E76" s="226"/>
      <c r="F76" s="226"/>
      <c r="G76" s="228" t="s">
        <v>738</v>
      </c>
      <c r="H76" s="221"/>
      <c r="I76" s="221"/>
      <c r="J76" s="221"/>
      <c r="K76" s="222">
        <v>1500</v>
      </c>
      <c r="L76" s="222"/>
      <c r="M76" s="266"/>
      <c r="N76" s="19"/>
    </row>
    <row r="77" spans="3:14" ht="20.149999999999999" customHeight="1" x14ac:dyDescent="0.75">
      <c r="C77" s="292" t="s">
        <v>744</v>
      </c>
      <c r="D77" s="226"/>
      <c r="E77" s="226"/>
      <c r="F77" s="226"/>
      <c r="G77" s="228" t="s">
        <v>746</v>
      </c>
      <c r="H77" s="221"/>
      <c r="I77" s="221"/>
      <c r="J77" s="221"/>
      <c r="K77" s="222">
        <v>860</v>
      </c>
      <c r="L77" s="222"/>
      <c r="M77" s="266"/>
      <c r="N77" s="19"/>
    </row>
    <row r="78" spans="3:14" ht="20.149999999999999" customHeight="1" x14ac:dyDescent="0.75">
      <c r="C78" s="292" t="s">
        <v>730</v>
      </c>
      <c r="D78" s="226"/>
      <c r="E78" s="226"/>
      <c r="F78" s="226"/>
      <c r="G78" s="228" t="s">
        <v>737</v>
      </c>
      <c r="H78" s="221"/>
      <c r="I78" s="221"/>
      <c r="J78" s="221"/>
      <c r="K78" s="222">
        <v>3099.75</v>
      </c>
      <c r="L78" s="222"/>
      <c r="M78" s="266"/>
      <c r="N78" s="19"/>
    </row>
    <row r="79" spans="3:14" ht="20.149999999999999" customHeight="1" x14ac:dyDescent="0.75">
      <c r="C79" s="292" t="s">
        <v>731</v>
      </c>
      <c r="D79" s="226"/>
      <c r="E79" s="226"/>
      <c r="F79" s="226"/>
      <c r="G79" s="228" t="s">
        <v>734</v>
      </c>
      <c r="H79" s="221"/>
      <c r="I79" s="221"/>
      <c r="J79" s="221"/>
      <c r="K79" s="222">
        <v>1500</v>
      </c>
      <c r="L79" s="222"/>
      <c r="M79" s="266"/>
      <c r="N79" s="19"/>
    </row>
    <row r="80" spans="3:14" ht="20.149999999999999" customHeight="1" x14ac:dyDescent="0.75">
      <c r="C80" s="292" t="s">
        <v>732</v>
      </c>
      <c r="D80" s="226"/>
      <c r="E80" s="226"/>
      <c r="F80" s="226"/>
      <c r="G80" s="228" t="s">
        <v>736</v>
      </c>
      <c r="H80" s="221"/>
      <c r="I80" s="221"/>
      <c r="J80" s="221"/>
      <c r="K80" s="222">
        <v>2550</v>
      </c>
      <c r="L80" s="222"/>
      <c r="M80" s="266"/>
      <c r="N80" s="19"/>
    </row>
    <row r="81" spans="2:19" ht="20.149999999999999" customHeight="1" x14ac:dyDescent="0.85">
      <c r="C81" s="292" t="s">
        <v>733</v>
      </c>
      <c r="D81" s="226"/>
      <c r="E81" s="226"/>
      <c r="F81" s="226"/>
      <c r="G81" s="228" t="s">
        <v>735</v>
      </c>
      <c r="H81" s="221"/>
      <c r="I81" s="221"/>
      <c r="J81" s="221"/>
      <c r="K81" s="266">
        <v>1095</v>
      </c>
      <c r="L81" s="222"/>
      <c r="M81" s="301">
        <f>SUM(K59:K81)</f>
        <v>28757.35</v>
      </c>
      <c r="N81" s="19"/>
      <c r="O81">
        <v>25152.35</v>
      </c>
      <c r="P81" s="135">
        <f>M81-O81</f>
        <v>3605</v>
      </c>
    </row>
    <row r="82" spans="2:19" ht="15" customHeight="1" x14ac:dyDescent="0.45">
      <c r="C82" s="227"/>
      <c r="D82" s="227"/>
      <c r="E82" s="229"/>
      <c r="F82" s="229"/>
      <c r="G82" s="228"/>
      <c r="H82" s="221"/>
      <c r="I82" s="221"/>
      <c r="J82" s="221"/>
      <c r="K82" s="230"/>
      <c r="L82" s="230"/>
      <c r="M82" s="230"/>
      <c r="N82" s="201"/>
    </row>
    <row r="83" spans="2:19" ht="20.149999999999999" customHeight="1" x14ac:dyDescent="0.45">
      <c r="C83" s="220" t="s">
        <v>327</v>
      </c>
      <c r="D83" s="220"/>
      <c r="E83" s="221"/>
      <c r="F83" s="221"/>
      <c r="G83" s="221"/>
      <c r="H83" s="221"/>
      <c r="I83" s="221"/>
      <c r="J83" s="221"/>
      <c r="K83" s="221"/>
      <c r="L83" s="221"/>
      <c r="M83" s="231">
        <f>M50-M81</f>
        <v>4531.4200000000055</v>
      </c>
      <c r="N83" s="44"/>
    </row>
    <row r="84" spans="2:19" ht="13.5" customHeight="1" x14ac:dyDescent="0.45">
      <c r="C84" s="221"/>
      <c r="D84" s="221"/>
      <c r="E84" s="221"/>
      <c r="F84" s="221"/>
      <c r="G84" s="221"/>
      <c r="H84" s="221"/>
      <c r="I84" s="221"/>
      <c r="J84" s="221"/>
      <c r="K84" s="221"/>
      <c r="L84" s="221"/>
      <c r="M84" s="225"/>
      <c r="N84" s="44"/>
    </row>
    <row r="85" spans="2:19" ht="20.149999999999999" customHeight="1" x14ac:dyDescent="0.85">
      <c r="C85" s="220" t="s">
        <v>713</v>
      </c>
      <c r="D85" s="221"/>
      <c r="E85" s="221"/>
      <c r="F85" s="221"/>
      <c r="G85" s="221"/>
      <c r="H85" s="221"/>
      <c r="I85" s="221"/>
      <c r="J85" s="221"/>
      <c r="K85" s="221"/>
      <c r="L85" s="221"/>
      <c r="M85" s="264">
        <v>0</v>
      </c>
      <c r="N85" s="44"/>
    </row>
    <row r="86" spans="2:19" ht="13.5" customHeight="1" x14ac:dyDescent="0.45">
      <c r="C86" s="221"/>
      <c r="D86" s="221"/>
      <c r="E86" s="221"/>
      <c r="F86" s="221"/>
      <c r="G86" s="221"/>
      <c r="H86" s="221"/>
      <c r="I86" s="221"/>
      <c r="J86" s="221"/>
      <c r="K86" s="221"/>
      <c r="L86" s="221"/>
      <c r="M86" s="225"/>
      <c r="N86" s="44"/>
    </row>
    <row r="87" spans="2:19" ht="24.45" customHeight="1" thickBot="1" x14ac:dyDescent="0.5">
      <c r="C87" s="220" t="s">
        <v>747</v>
      </c>
      <c r="D87" s="221"/>
      <c r="E87" s="221"/>
      <c r="F87" s="221"/>
      <c r="G87" s="221"/>
      <c r="H87" s="221"/>
      <c r="I87" s="221"/>
      <c r="J87" s="221"/>
      <c r="K87" s="221"/>
      <c r="L87" s="245" t="s">
        <v>326</v>
      </c>
      <c r="M87" s="232">
        <f>M83-M85</f>
        <v>4531.4200000000055</v>
      </c>
      <c r="N87" s="8"/>
      <c r="O87" s="2" t="s">
        <v>245</v>
      </c>
      <c r="P87" s="135"/>
      <c r="Q87" s="135"/>
      <c r="R87" s="135"/>
      <c r="S87" s="135"/>
    </row>
    <row r="88" spans="2:19" ht="13.5" customHeight="1" thickTop="1" x14ac:dyDescent="0.45">
      <c r="C88" s="221"/>
      <c r="D88" s="221"/>
      <c r="E88" s="220"/>
      <c r="F88" s="220"/>
      <c r="G88" s="221"/>
      <c r="H88" s="221"/>
      <c r="I88" s="221"/>
      <c r="J88" s="221"/>
      <c r="K88" s="221"/>
      <c r="L88" s="221"/>
      <c r="M88" s="221"/>
      <c r="N88" s="8"/>
      <c r="O88" s="135"/>
      <c r="P88" s="474"/>
      <c r="Q88" s="474"/>
    </row>
    <row r="89" spans="2:19" ht="13.5" customHeight="1" x14ac:dyDescent="0.45">
      <c r="C89" s="221"/>
      <c r="D89" s="221"/>
      <c r="E89" s="220"/>
      <c r="F89" s="220"/>
      <c r="G89" s="221"/>
      <c r="H89" s="221"/>
      <c r="I89" s="221"/>
      <c r="J89" s="221"/>
      <c r="K89" s="221"/>
      <c r="L89" s="221"/>
      <c r="M89" s="221"/>
      <c r="N89" s="8"/>
      <c r="O89" s="270"/>
    </row>
    <row r="90" spans="2:19" ht="13.5" customHeight="1" thickBot="1" x14ac:dyDescent="0.45">
      <c r="C90" s="8"/>
      <c r="D90" s="8"/>
      <c r="E90" s="13"/>
      <c r="F90" s="13"/>
      <c r="G90" s="8"/>
      <c r="H90" s="8"/>
      <c r="I90" s="8"/>
      <c r="J90" s="8"/>
      <c r="K90" s="8"/>
      <c r="L90" s="8"/>
      <c r="M90" s="8"/>
      <c r="N90" s="8"/>
    </row>
    <row r="91" spans="2:19" ht="13.5" customHeight="1" x14ac:dyDescent="0.45">
      <c r="B91" s="251"/>
      <c r="C91" s="493" t="s">
        <v>656</v>
      </c>
      <c r="D91" s="493"/>
      <c r="E91" s="493"/>
      <c r="F91" s="493"/>
      <c r="G91" s="493"/>
      <c r="H91" s="493"/>
      <c r="I91" s="252"/>
      <c r="J91" s="252"/>
      <c r="K91" s="252"/>
      <c r="L91" s="483" t="s">
        <v>326</v>
      </c>
      <c r="M91" s="479">
        <v>52936.58</v>
      </c>
      <c r="N91" s="253"/>
    </row>
    <row r="92" spans="2:19" ht="11.15" customHeight="1" x14ac:dyDescent="0.4">
      <c r="B92" s="254"/>
      <c r="C92" s="494"/>
      <c r="D92" s="494"/>
      <c r="E92" s="494"/>
      <c r="F92" s="494"/>
      <c r="G92" s="494"/>
      <c r="H92" s="494"/>
      <c r="I92" s="220"/>
      <c r="J92" s="220"/>
      <c r="K92" s="220"/>
      <c r="L92" s="484"/>
      <c r="M92" s="503"/>
      <c r="N92" s="255"/>
    </row>
    <row r="93" spans="2:19" ht="16.2" customHeight="1" x14ac:dyDescent="0.4">
      <c r="B93" s="256"/>
      <c r="C93" s="496" t="s">
        <v>532</v>
      </c>
      <c r="D93" s="496"/>
      <c r="E93" s="496"/>
      <c r="F93" s="496"/>
      <c r="G93" s="496"/>
      <c r="H93" s="496"/>
      <c r="I93" s="233"/>
      <c r="J93" s="233"/>
      <c r="K93" s="307" t="s">
        <v>245</v>
      </c>
      <c r="L93" s="233"/>
      <c r="M93" s="261">
        <v>0</v>
      </c>
      <c r="N93" s="174"/>
    </row>
    <row r="94" spans="2:19" ht="16.2" customHeight="1" x14ac:dyDescent="0.45">
      <c r="B94" s="254"/>
      <c r="C94" s="497" t="s">
        <v>322</v>
      </c>
      <c r="D94" s="497"/>
      <c r="E94" s="497"/>
      <c r="F94" s="497"/>
      <c r="G94" s="497"/>
      <c r="H94" s="497"/>
      <c r="I94" s="302"/>
      <c r="J94" s="302"/>
      <c r="K94" s="303"/>
      <c r="L94" s="303"/>
      <c r="M94" s="261">
        <f>5.18-1.04</f>
        <v>4.1399999999999997</v>
      </c>
      <c r="N94" s="255"/>
    </row>
    <row r="95" spans="2:19" ht="16.2" customHeight="1" thickBot="1" x14ac:dyDescent="0.5">
      <c r="B95" s="254"/>
      <c r="C95" s="496" t="s">
        <v>703</v>
      </c>
      <c r="D95" s="496"/>
      <c r="E95" s="496"/>
      <c r="F95" s="496"/>
      <c r="G95" s="496"/>
      <c r="H95" s="496"/>
      <c r="I95" s="221"/>
      <c r="J95" s="221"/>
      <c r="K95" s="230"/>
      <c r="L95" s="230"/>
      <c r="M95" s="262">
        <v>5500</v>
      </c>
      <c r="N95" s="255"/>
    </row>
    <row r="96" spans="2:19" ht="13.5" customHeight="1" x14ac:dyDescent="0.4">
      <c r="B96" s="251"/>
      <c r="C96" s="498" t="s">
        <v>742</v>
      </c>
      <c r="D96" s="498"/>
      <c r="E96" s="498"/>
      <c r="F96" s="498"/>
      <c r="G96" s="498"/>
      <c r="H96" s="498"/>
      <c r="I96" s="260"/>
      <c r="J96" s="260"/>
      <c r="K96" s="260"/>
      <c r="L96" s="485" t="s">
        <v>326</v>
      </c>
      <c r="M96" s="477">
        <f>SUM(M91:M94)-M95</f>
        <v>47440.72</v>
      </c>
      <c r="N96" s="253"/>
    </row>
    <row r="97" spans="2:16" ht="13.5" customHeight="1" thickBot="1" x14ac:dyDescent="0.45">
      <c r="B97" s="257"/>
      <c r="C97" s="499"/>
      <c r="D97" s="499"/>
      <c r="E97" s="499"/>
      <c r="F97" s="499"/>
      <c r="G97" s="499"/>
      <c r="H97" s="499"/>
      <c r="I97" s="258"/>
      <c r="J97" s="258"/>
      <c r="K97" s="258"/>
      <c r="L97" s="486"/>
      <c r="M97" s="478"/>
      <c r="N97" s="259"/>
      <c r="O97" s="135">
        <v>47440.72</v>
      </c>
      <c r="P97" s="135">
        <f>M96-O97</f>
        <v>0</v>
      </c>
    </row>
    <row r="98" spans="2:16" ht="13.5" customHeight="1" x14ac:dyDescent="0.4">
      <c r="C98" s="8"/>
      <c r="D98" s="8"/>
      <c r="E98" s="13"/>
      <c r="F98" s="13"/>
      <c r="G98" s="13"/>
      <c r="H98" s="13"/>
      <c r="I98" s="13"/>
      <c r="J98" s="13"/>
      <c r="K98" s="13"/>
      <c r="L98" s="13"/>
      <c r="M98" s="15" t="s">
        <v>245</v>
      </c>
      <c r="N98" s="8"/>
    </row>
    <row r="99" spans="2:16" ht="13.5" customHeight="1" x14ac:dyDescent="0.4">
      <c r="C99" s="8"/>
      <c r="D99" s="8"/>
      <c r="E99" s="13"/>
      <c r="F99" s="13"/>
      <c r="G99" s="13"/>
      <c r="H99" s="13"/>
      <c r="I99" s="13"/>
      <c r="J99" s="13"/>
      <c r="K99" s="13"/>
      <c r="L99" s="13"/>
      <c r="M99" s="15"/>
      <c r="N99" s="8"/>
    </row>
    <row r="100" spans="2:16" ht="13.5" customHeight="1" x14ac:dyDescent="0.4">
      <c r="C100" s="8"/>
      <c r="D100" s="8"/>
      <c r="E100" s="13"/>
      <c r="F100" s="13"/>
      <c r="G100" s="13"/>
      <c r="H100" s="13"/>
      <c r="I100" s="13"/>
      <c r="J100" s="13"/>
      <c r="K100" s="13"/>
      <c r="L100" s="13"/>
      <c r="M100" s="15"/>
      <c r="N100" s="8"/>
    </row>
    <row r="101" spans="2:16" ht="13.5" customHeight="1" x14ac:dyDescent="0.4">
      <c r="C101" s="237" t="s">
        <v>13</v>
      </c>
      <c r="D101" s="235"/>
      <c r="E101" s="235"/>
      <c r="F101" s="235"/>
      <c r="G101" s="237" t="s">
        <v>82</v>
      </c>
      <c r="H101" s="235"/>
      <c r="I101" s="237" t="s">
        <v>289</v>
      </c>
      <c r="J101" s="237"/>
      <c r="K101" s="235"/>
      <c r="L101" s="235"/>
      <c r="M101" s="235" t="s">
        <v>261</v>
      </c>
      <c r="N101" s="8"/>
    </row>
    <row r="102" spans="2:16" ht="13.5" customHeight="1" x14ac:dyDescent="0.4"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</row>
    <row r="103" spans="2:16" ht="20.149999999999999" customHeight="1" x14ac:dyDescent="0.4">
      <c r="C103" s="234" t="s">
        <v>290</v>
      </c>
      <c r="D103" s="235"/>
      <c r="E103" s="235"/>
      <c r="F103" s="235"/>
      <c r="G103" s="234" t="s">
        <v>14</v>
      </c>
      <c r="H103" s="235"/>
      <c r="I103" s="234" t="s">
        <v>17</v>
      </c>
      <c r="J103" s="234"/>
      <c r="K103" s="235"/>
      <c r="L103" s="235"/>
      <c r="M103" s="234" t="s">
        <v>8</v>
      </c>
      <c r="N103" s="8"/>
    </row>
    <row r="104" spans="2:16" ht="13.5" customHeight="1" x14ac:dyDescent="0.4">
      <c r="C104" s="19" t="s">
        <v>317</v>
      </c>
      <c r="D104" s="8"/>
      <c r="E104" s="8"/>
      <c r="F104" s="8"/>
      <c r="G104" s="19" t="s">
        <v>15</v>
      </c>
      <c r="H104" s="8"/>
      <c r="I104" s="19" t="s">
        <v>292</v>
      </c>
      <c r="J104" s="19"/>
      <c r="K104" s="8"/>
      <c r="L104" s="8"/>
      <c r="M104" s="19" t="s">
        <v>262</v>
      </c>
      <c r="N104" s="8"/>
    </row>
    <row r="105" spans="2:16" ht="13.5" customHeight="1" x14ac:dyDescent="0.4"/>
    <row r="106" spans="2:16" ht="13.5" customHeight="1" x14ac:dyDescent="0.4"/>
    <row r="107" spans="2:16" ht="13.5" customHeight="1" x14ac:dyDescent="0.4"/>
    <row r="108" spans="2:16" ht="13.5" customHeight="1" x14ac:dyDescent="0.4"/>
    <row r="109" spans="2:16" ht="13.5" customHeight="1" x14ac:dyDescent="0.4"/>
    <row r="110" spans="2:16" ht="13.5" customHeight="1" x14ac:dyDescent="0.4"/>
  </sheetData>
  <mergeCells count="19">
    <mergeCell ref="M96:M97"/>
    <mergeCell ref="C18:E18"/>
    <mergeCell ref="G57:I57"/>
    <mergeCell ref="P88:Q88"/>
    <mergeCell ref="C91:H92"/>
    <mergeCell ref="L91:L92"/>
    <mergeCell ref="M91:M92"/>
    <mergeCell ref="C93:H93"/>
    <mergeCell ref="C94:H94"/>
    <mergeCell ref="C95:H95"/>
    <mergeCell ref="C96:H97"/>
    <mergeCell ref="L96:L97"/>
    <mergeCell ref="G67:I67"/>
    <mergeCell ref="C16:E16"/>
    <mergeCell ref="C4:N4"/>
    <mergeCell ref="C5:M5"/>
    <mergeCell ref="C6:M6"/>
    <mergeCell ref="C7:M7"/>
    <mergeCell ref="C8:M8"/>
  </mergeCells>
  <pageMargins left="0" right="0" top="0.59055118110236227" bottom="0.59055118110236227" header="0.31496062992125984" footer="0.31496062992125984"/>
  <pageSetup paperSize="9" scale="75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CFB903-0445-422E-9660-9517F2E47326}">
  <dimension ref="B2:P127"/>
  <sheetViews>
    <sheetView topLeftCell="A59" workbookViewId="0">
      <selection activeCell="P103" sqref="P103"/>
    </sheetView>
  </sheetViews>
  <sheetFormatPr defaultRowHeight="14.6" x14ac:dyDescent="0.4"/>
  <cols>
    <col min="1" max="1" width="2.3046875" customWidth="1"/>
    <col min="2" max="2" width="13.3046875" customWidth="1"/>
    <col min="3" max="3" width="4.84375" customWidth="1"/>
    <col min="4" max="4" width="12.3046875" customWidth="1"/>
    <col min="5" max="5" width="1.53515625" customWidth="1"/>
    <col min="6" max="6" width="19.84375" customWidth="1"/>
    <col min="7" max="7" width="22.3046875" customWidth="1"/>
    <col min="8" max="8" width="23.3046875" hidden="1" customWidth="1"/>
    <col min="9" max="9" width="13.69140625" customWidth="1"/>
    <col min="10" max="10" width="12.07421875" customWidth="1"/>
    <col min="11" max="12" width="12.3046875" customWidth="1"/>
    <col min="13" max="13" width="11.53515625" customWidth="1"/>
    <col min="16" max="16" width="12" customWidth="1"/>
  </cols>
  <sheetData>
    <row r="2" spans="2:12" x14ac:dyDescent="0.4">
      <c r="B2" s="246" t="s">
        <v>329</v>
      </c>
    </row>
    <row r="3" spans="2:12" x14ac:dyDescent="0.4">
      <c r="B3" s="246"/>
    </row>
    <row r="4" spans="2:12" x14ac:dyDescent="0.4">
      <c r="B4" s="246"/>
    </row>
    <row r="5" spans="2:12" ht="14.15" customHeight="1" x14ac:dyDescent="0.4">
      <c r="B5" s="468" t="s">
        <v>0</v>
      </c>
      <c r="C5" s="468"/>
      <c r="D5" s="468"/>
      <c r="E5" s="468"/>
      <c r="F5" s="468"/>
      <c r="G5" s="468"/>
      <c r="H5" s="468"/>
      <c r="I5" s="468"/>
      <c r="J5" s="468"/>
      <c r="K5" s="468"/>
      <c r="L5" s="468"/>
    </row>
    <row r="6" spans="2:12" ht="14.15" customHeight="1" x14ac:dyDescent="0.4">
      <c r="B6" s="19"/>
      <c r="C6" s="19"/>
      <c r="D6" s="19"/>
      <c r="E6" s="19"/>
      <c r="F6" s="19"/>
      <c r="G6" s="19" t="s">
        <v>18</v>
      </c>
      <c r="H6" s="19"/>
      <c r="I6" s="19"/>
      <c r="J6" s="19"/>
      <c r="K6" s="19"/>
      <c r="L6" s="1"/>
    </row>
    <row r="7" spans="2:12" ht="14.15" customHeight="1" x14ac:dyDescent="0.4">
      <c r="B7" s="8"/>
      <c r="C7" s="8"/>
      <c r="D7" s="8"/>
      <c r="E7" s="8"/>
      <c r="F7" s="473" t="s">
        <v>657</v>
      </c>
      <c r="G7" s="473"/>
      <c r="H7" s="473"/>
      <c r="I7" s="473"/>
      <c r="J7" s="473"/>
      <c r="K7" s="8"/>
    </row>
    <row r="8" spans="2:12" ht="14.15" customHeight="1" thickBot="1" x14ac:dyDescent="0.45">
      <c r="B8" s="8"/>
      <c r="C8" s="8"/>
      <c r="D8" s="8"/>
      <c r="E8" s="8"/>
      <c r="F8" s="8"/>
      <c r="G8" s="8"/>
      <c r="H8" s="8"/>
      <c r="I8" s="8"/>
      <c r="J8" s="8"/>
      <c r="K8" s="8"/>
    </row>
    <row r="9" spans="2:12" ht="21.75" customHeight="1" x14ac:dyDescent="0.4">
      <c r="B9" s="308"/>
      <c r="C9" s="309"/>
      <c r="D9" s="310"/>
      <c r="E9" s="309"/>
      <c r="F9" s="311"/>
      <c r="G9" s="500" t="s">
        <v>304</v>
      </c>
      <c r="H9" s="500" t="s">
        <v>299</v>
      </c>
      <c r="I9" s="500" t="s">
        <v>293</v>
      </c>
      <c r="J9" s="502" t="s">
        <v>301</v>
      </c>
      <c r="K9" s="502"/>
      <c r="L9" s="500" t="s">
        <v>296</v>
      </c>
    </row>
    <row r="10" spans="2:12" ht="30" customHeight="1" thickBot="1" x14ac:dyDescent="0.45">
      <c r="B10" s="312" t="s">
        <v>5</v>
      </c>
      <c r="C10" s="313"/>
      <c r="D10" s="314" t="s">
        <v>309</v>
      </c>
      <c r="E10" s="313"/>
      <c r="F10" s="315" t="s">
        <v>1</v>
      </c>
      <c r="G10" s="501"/>
      <c r="H10" s="501"/>
      <c r="I10" s="501"/>
      <c r="J10" s="316" t="s">
        <v>302</v>
      </c>
      <c r="K10" s="317" t="s">
        <v>303</v>
      </c>
      <c r="L10" s="501"/>
    </row>
    <row r="11" spans="2:12" ht="16.2" customHeight="1" x14ac:dyDescent="0.4">
      <c r="B11" s="137" t="s">
        <v>148</v>
      </c>
      <c r="C11" s="19"/>
      <c r="D11" s="155"/>
      <c r="E11" s="19"/>
      <c r="F11" s="170"/>
      <c r="G11" s="110"/>
      <c r="H11" s="110"/>
      <c r="I11" s="157"/>
      <c r="J11" s="178"/>
      <c r="K11" s="183"/>
      <c r="L11" s="186"/>
    </row>
    <row r="12" spans="2:12" ht="16.2" customHeight="1" x14ac:dyDescent="0.4">
      <c r="B12" s="138" t="s">
        <v>154</v>
      </c>
      <c r="C12" s="139" t="s">
        <v>245</v>
      </c>
      <c r="D12" s="140">
        <v>2826</v>
      </c>
      <c r="E12" s="141"/>
      <c r="F12" s="171" t="s">
        <v>677</v>
      </c>
      <c r="G12" s="158">
        <v>100</v>
      </c>
      <c r="H12" s="158"/>
      <c r="I12" s="140"/>
      <c r="J12" s="114"/>
      <c r="K12" s="184" t="s">
        <v>245</v>
      </c>
      <c r="L12" s="163"/>
    </row>
    <row r="13" spans="2:12" ht="16.2" customHeight="1" x14ac:dyDescent="0.4">
      <c r="B13" s="138" t="s">
        <v>154</v>
      </c>
      <c r="C13" s="139"/>
      <c r="D13" s="140">
        <f t="shared" ref="D13:D18" si="0">1+D12</f>
        <v>2827</v>
      </c>
      <c r="E13" s="141"/>
      <c r="F13" s="171" t="s">
        <v>676</v>
      </c>
      <c r="G13" s="158">
        <v>100</v>
      </c>
      <c r="H13" s="158"/>
      <c r="I13" s="140"/>
      <c r="J13" s="114"/>
      <c r="K13" s="184"/>
      <c r="L13" s="163"/>
    </row>
    <row r="14" spans="2:12" ht="16.2" customHeight="1" x14ac:dyDescent="0.4">
      <c r="B14" s="138" t="s">
        <v>154</v>
      </c>
      <c r="C14" s="139"/>
      <c r="D14" s="140">
        <f t="shared" si="0"/>
        <v>2828</v>
      </c>
      <c r="E14" s="141"/>
      <c r="F14" s="171" t="s">
        <v>678</v>
      </c>
      <c r="G14" s="158">
        <v>100</v>
      </c>
      <c r="H14" s="158"/>
      <c r="I14" s="140"/>
      <c r="J14" s="114"/>
      <c r="K14" s="184"/>
      <c r="L14" s="163"/>
    </row>
    <row r="15" spans="2:12" ht="16.2" customHeight="1" x14ac:dyDescent="0.4">
      <c r="B15" s="138" t="s">
        <v>154</v>
      </c>
      <c r="C15" s="139"/>
      <c r="D15" s="140">
        <f t="shared" si="0"/>
        <v>2829</v>
      </c>
      <c r="E15" s="141"/>
      <c r="F15" s="171" t="s">
        <v>41</v>
      </c>
      <c r="G15" s="158">
        <v>100</v>
      </c>
      <c r="H15" s="158"/>
      <c r="I15" s="140"/>
      <c r="J15" s="114"/>
      <c r="K15" s="184"/>
      <c r="L15" s="163"/>
    </row>
    <row r="16" spans="2:12" ht="16.2" customHeight="1" x14ac:dyDescent="0.4">
      <c r="B16" s="138" t="s">
        <v>154</v>
      </c>
      <c r="C16" s="139"/>
      <c r="D16" s="140">
        <f t="shared" si="0"/>
        <v>2830</v>
      </c>
      <c r="E16" s="141"/>
      <c r="F16" s="171" t="s">
        <v>20</v>
      </c>
      <c r="G16" s="158">
        <v>100</v>
      </c>
      <c r="H16" s="158"/>
      <c r="I16" s="140"/>
      <c r="J16" s="114"/>
      <c r="K16" s="184"/>
      <c r="L16" s="163"/>
    </row>
    <row r="17" spans="2:16" ht="16.2" customHeight="1" x14ac:dyDescent="0.4">
      <c r="B17" s="138" t="s">
        <v>154</v>
      </c>
      <c r="C17" s="139"/>
      <c r="D17" s="140">
        <f t="shared" si="0"/>
        <v>2831</v>
      </c>
      <c r="E17" s="141"/>
      <c r="F17" s="171" t="s">
        <v>679</v>
      </c>
      <c r="G17" s="158">
        <v>100</v>
      </c>
      <c r="H17" s="158"/>
      <c r="I17" s="140"/>
      <c r="J17" s="114"/>
      <c r="K17" s="184"/>
      <c r="L17" s="163"/>
    </row>
    <row r="18" spans="2:16" ht="16.2" customHeight="1" x14ac:dyDescent="0.4">
      <c r="B18" s="138" t="s">
        <v>154</v>
      </c>
      <c r="C18" s="139"/>
      <c r="D18" s="140">
        <f t="shared" si="0"/>
        <v>2832</v>
      </c>
      <c r="E18" s="141"/>
      <c r="F18" s="174" t="s">
        <v>680</v>
      </c>
      <c r="G18" s="158">
        <v>100</v>
      </c>
      <c r="H18" s="158"/>
      <c r="I18" s="140"/>
      <c r="J18" s="114"/>
      <c r="K18" s="184"/>
      <c r="L18" s="163"/>
    </row>
    <row r="19" spans="2:16" ht="18" customHeight="1" x14ac:dyDescent="0.4">
      <c r="B19" s="154" t="s">
        <v>307</v>
      </c>
      <c r="D19" s="111"/>
      <c r="F19" s="109"/>
      <c r="G19" s="306">
        <f>SUM(G12:G18)</f>
        <v>700</v>
      </c>
      <c r="H19" s="306"/>
      <c r="I19" s="162">
        <f>G19-J19</f>
        <v>0</v>
      </c>
      <c r="J19" s="142">
        <v>700</v>
      </c>
      <c r="K19" s="185">
        <v>300</v>
      </c>
      <c r="L19" s="198">
        <f>J19+K19</f>
        <v>1000</v>
      </c>
    </row>
    <row r="20" spans="2:16" ht="16.2" customHeight="1" x14ac:dyDescent="0.4">
      <c r="B20" s="138" t="s">
        <v>16</v>
      </c>
      <c r="C20" s="141"/>
      <c r="D20" s="140">
        <v>2833</v>
      </c>
      <c r="E20" s="141"/>
      <c r="F20" s="171" t="s">
        <v>677</v>
      </c>
      <c r="G20" s="275">
        <v>100</v>
      </c>
      <c r="H20" s="417"/>
      <c r="I20" s="140"/>
      <c r="J20" s="142"/>
      <c r="K20" s="185"/>
      <c r="L20" s="167" t="s">
        <v>245</v>
      </c>
    </row>
    <row r="21" spans="2:16" ht="16.2" customHeight="1" x14ac:dyDescent="0.4">
      <c r="B21" s="138" t="s">
        <v>16</v>
      </c>
      <c r="C21" s="141"/>
      <c r="D21" s="140">
        <f>1+D20</f>
        <v>2834</v>
      </c>
      <c r="E21" s="141"/>
      <c r="F21" s="172" t="s">
        <v>403</v>
      </c>
      <c r="G21" s="275">
        <v>100</v>
      </c>
      <c r="H21" s="417"/>
      <c r="I21" s="140"/>
      <c r="J21" s="142"/>
      <c r="K21" s="185"/>
      <c r="L21" s="167"/>
    </row>
    <row r="22" spans="2:16" ht="16.2" customHeight="1" x14ac:dyDescent="0.4">
      <c r="B22" s="138" t="s">
        <v>16</v>
      </c>
      <c r="C22" s="141"/>
      <c r="D22" s="140">
        <f>1+D21</f>
        <v>2835</v>
      </c>
      <c r="E22" s="141"/>
      <c r="F22" s="172" t="s">
        <v>402</v>
      </c>
      <c r="G22" s="275">
        <v>100</v>
      </c>
      <c r="H22" s="417"/>
      <c r="I22" s="140"/>
      <c r="J22" s="142"/>
      <c r="K22" s="185"/>
      <c r="L22" s="167"/>
    </row>
    <row r="23" spans="2:16" ht="16.2" customHeight="1" x14ac:dyDescent="0.4">
      <c r="B23" s="138" t="s">
        <v>16</v>
      </c>
      <c r="C23" s="141"/>
      <c r="D23" s="140">
        <f>1+D22</f>
        <v>2836</v>
      </c>
      <c r="E23" s="141"/>
      <c r="F23" s="172" t="s">
        <v>681</v>
      </c>
      <c r="G23" s="275">
        <v>100</v>
      </c>
      <c r="H23" s="417"/>
      <c r="I23" s="140"/>
      <c r="J23" s="142"/>
      <c r="K23" s="185"/>
      <c r="L23" s="167"/>
    </row>
    <row r="24" spans="2:16" ht="16.2" customHeight="1" x14ac:dyDescent="0.4">
      <c r="B24" s="138" t="s">
        <v>16</v>
      </c>
      <c r="C24" s="141"/>
      <c r="D24" s="140">
        <f>1+D22</f>
        <v>2836</v>
      </c>
      <c r="E24" s="141"/>
      <c r="F24" s="172" t="s">
        <v>681</v>
      </c>
      <c r="G24" s="275">
        <v>100</v>
      </c>
      <c r="H24" s="417"/>
      <c r="I24" s="140"/>
      <c r="J24" s="142"/>
      <c r="K24" s="185"/>
      <c r="L24" s="167"/>
    </row>
    <row r="25" spans="2:16" ht="16.2" hidden="1" customHeight="1" x14ac:dyDescent="0.4">
      <c r="B25" s="138" t="s">
        <v>245</v>
      </c>
      <c r="C25" s="141"/>
      <c r="D25" s="140" t="s">
        <v>245</v>
      </c>
      <c r="E25" s="141"/>
      <c r="F25" s="172" t="s">
        <v>386</v>
      </c>
      <c r="G25" s="275">
        <v>0</v>
      </c>
      <c r="H25" s="417"/>
      <c r="I25" s="140"/>
      <c r="J25" s="142"/>
      <c r="K25" s="185"/>
      <c r="L25" s="167"/>
    </row>
    <row r="26" spans="2:16" ht="16.2" customHeight="1" x14ac:dyDescent="0.4">
      <c r="B26" s="154" t="s">
        <v>307</v>
      </c>
      <c r="C26" s="141"/>
      <c r="D26" s="140"/>
      <c r="E26" s="141"/>
      <c r="F26" s="172"/>
      <c r="G26" s="334">
        <f>SUM(G20:G25)</f>
        <v>500</v>
      </c>
      <c r="H26" s="417"/>
      <c r="I26" s="162">
        <f>G26-J26</f>
        <v>-200</v>
      </c>
      <c r="J26" s="142">
        <v>700</v>
      </c>
      <c r="K26" s="185">
        <v>300</v>
      </c>
      <c r="L26" s="198">
        <f>J26+K26</f>
        <v>1000</v>
      </c>
    </row>
    <row r="27" spans="2:16" ht="16.2" customHeight="1" x14ac:dyDescent="0.4">
      <c r="B27" s="138">
        <v>15</v>
      </c>
      <c r="C27" s="141"/>
      <c r="D27" s="140">
        <v>2838</v>
      </c>
      <c r="E27" s="141"/>
      <c r="F27" s="172" t="s">
        <v>434</v>
      </c>
      <c r="G27" s="275">
        <v>200</v>
      </c>
      <c r="H27" s="417"/>
      <c r="I27" s="140"/>
      <c r="J27" s="142"/>
      <c r="K27" s="185"/>
      <c r="L27" s="198">
        <f t="shared" ref="L27:L80" si="1">J27+K27</f>
        <v>0</v>
      </c>
    </row>
    <row r="28" spans="2:16" ht="16.2" customHeight="1" x14ac:dyDescent="0.4">
      <c r="B28" s="138">
        <v>15</v>
      </c>
      <c r="C28" s="141"/>
      <c r="D28" s="140">
        <f t="shared" ref="D28:D34" si="2">1+D27</f>
        <v>2839</v>
      </c>
      <c r="E28" s="141"/>
      <c r="F28" s="172" t="s">
        <v>682</v>
      </c>
      <c r="G28" s="275">
        <v>100</v>
      </c>
      <c r="H28" s="417"/>
      <c r="I28" s="140"/>
      <c r="J28" s="142"/>
      <c r="K28" s="185"/>
      <c r="L28" s="198">
        <f t="shared" si="1"/>
        <v>0</v>
      </c>
    </row>
    <row r="29" spans="2:16" ht="16.2" customHeight="1" x14ac:dyDescent="0.4">
      <c r="B29" s="138">
        <v>15</v>
      </c>
      <c r="C29" s="141"/>
      <c r="D29" s="140">
        <f t="shared" si="2"/>
        <v>2840</v>
      </c>
      <c r="E29" s="141"/>
      <c r="F29" s="172" t="s">
        <v>129</v>
      </c>
      <c r="G29" s="275">
        <v>100</v>
      </c>
      <c r="H29" s="417"/>
      <c r="I29" s="140"/>
      <c r="J29" s="142"/>
      <c r="K29" s="185"/>
      <c r="L29" s="198">
        <f t="shared" si="1"/>
        <v>0</v>
      </c>
    </row>
    <row r="30" spans="2:16" ht="16.2" customHeight="1" x14ac:dyDescent="0.4">
      <c r="B30" s="138">
        <v>15</v>
      </c>
      <c r="C30" s="141"/>
      <c r="D30" s="140">
        <f t="shared" si="2"/>
        <v>2841</v>
      </c>
      <c r="E30" s="141"/>
      <c r="F30" s="172" t="s">
        <v>345</v>
      </c>
      <c r="G30" s="275">
        <v>100</v>
      </c>
      <c r="H30" s="417"/>
      <c r="I30" s="140"/>
      <c r="J30" s="142"/>
      <c r="K30" s="185"/>
      <c r="L30" s="198">
        <f t="shared" si="1"/>
        <v>0</v>
      </c>
    </row>
    <row r="31" spans="2:16" ht="16.2" customHeight="1" x14ac:dyDescent="0.4">
      <c r="B31" s="138">
        <v>15</v>
      </c>
      <c r="C31" s="141"/>
      <c r="D31" s="140">
        <f t="shared" si="2"/>
        <v>2842</v>
      </c>
      <c r="E31" s="141"/>
      <c r="F31" s="172" t="s">
        <v>677</v>
      </c>
      <c r="G31" s="275">
        <v>1500</v>
      </c>
      <c r="H31" s="417"/>
      <c r="I31" s="140"/>
      <c r="J31" s="142">
        <v>0</v>
      </c>
      <c r="K31" s="185"/>
      <c r="L31" s="198">
        <f t="shared" si="1"/>
        <v>0</v>
      </c>
      <c r="M31" s="272" t="s">
        <v>704</v>
      </c>
      <c r="P31" s="404">
        <v>1500</v>
      </c>
    </row>
    <row r="32" spans="2:16" ht="16.2" customHeight="1" x14ac:dyDescent="0.4">
      <c r="B32" s="175">
        <v>15</v>
      </c>
      <c r="C32" s="395"/>
      <c r="D32" s="177">
        <f t="shared" si="2"/>
        <v>2843</v>
      </c>
      <c r="E32" s="395"/>
      <c r="F32" s="396" t="s">
        <v>14</v>
      </c>
      <c r="G32" s="407">
        <v>1500</v>
      </c>
      <c r="H32" s="418"/>
      <c r="I32" s="177"/>
      <c r="J32" s="142">
        <v>0</v>
      </c>
      <c r="K32" s="185"/>
      <c r="L32" s="198">
        <f t="shared" si="1"/>
        <v>0</v>
      </c>
      <c r="M32" s="272" t="s">
        <v>705</v>
      </c>
      <c r="P32" s="403">
        <v>1500</v>
      </c>
    </row>
    <row r="33" spans="2:16" ht="16.2" customHeight="1" x14ac:dyDescent="0.4">
      <c r="B33" s="175">
        <v>15</v>
      </c>
      <c r="C33" s="395"/>
      <c r="D33" s="177">
        <f t="shared" si="2"/>
        <v>2844</v>
      </c>
      <c r="E33" s="395"/>
      <c r="F33" s="396" t="s">
        <v>684</v>
      </c>
      <c r="G33" s="407">
        <v>3000</v>
      </c>
      <c r="H33" s="418"/>
      <c r="I33" s="177"/>
      <c r="J33" s="142"/>
      <c r="K33" s="185"/>
      <c r="L33" s="198">
        <f t="shared" si="1"/>
        <v>0</v>
      </c>
      <c r="M33" s="272" t="s">
        <v>705</v>
      </c>
    </row>
    <row r="34" spans="2:16" ht="16.2" customHeight="1" x14ac:dyDescent="0.4">
      <c r="B34" s="175">
        <v>15</v>
      </c>
      <c r="C34" s="395"/>
      <c r="D34" s="177">
        <f t="shared" si="2"/>
        <v>2845</v>
      </c>
      <c r="E34" s="395"/>
      <c r="F34" s="396" t="s">
        <v>178</v>
      </c>
      <c r="G34" s="407">
        <v>600</v>
      </c>
      <c r="H34" s="418"/>
      <c r="I34" s="177"/>
      <c r="J34" s="142">
        <v>0</v>
      </c>
      <c r="K34" s="185"/>
      <c r="L34" s="198">
        <f t="shared" si="1"/>
        <v>0</v>
      </c>
    </row>
    <row r="35" spans="2:16" ht="16.2" customHeight="1" x14ac:dyDescent="0.4">
      <c r="B35" s="345" t="s">
        <v>307</v>
      </c>
      <c r="C35" s="395"/>
      <c r="D35" s="177"/>
      <c r="E35" s="395"/>
      <c r="F35" s="396"/>
      <c r="G35" s="419">
        <f>SUM(G27:G34)</f>
        <v>7100</v>
      </c>
      <c r="H35" s="418"/>
      <c r="I35" s="191">
        <f>G35-J31-J32-J35</f>
        <v>2600</v>
      </c>
      <c r="J35" s="142">
        <v>4500</v>
      </c>
      <c r="K35" s="185"/>
      <c r="L35" s="198">
        <f t="shared" si="1"/>
        <v>4500</v>
      </c>
      <c r="M35" s="272" t="s">
        <v>711</v>
      </c>
    </row>
    <row r="36" spans="2:16" ht="16.2" customHeight="1" x14ac:dyDescent="0.4">
      <c r="B36" s="175">
        <v>16</v>
      </c>
      <c r="C36" s="395"/>
      <c r="D36" s="177">
        <v>2846</v>
      </c>
      <c r="E36" s="395"/>
      <c r="F36" s="396" t="s">
        <v>685</v>
      </c>
      <c r="G36" s="407">
        <v>200</v>
      </c>
      <c r="H36" s="418"/>
      <c r="I36" s="177"/>
      <c r="J36" s="142"/>
      <c r="K36" s="185"/>
      <c r="L36" s="198">
        <f t="shared" si="1"/>
        <v>0</v>
      </c>
    </row>
    <row r="37" spans="2:16" ht="16.2" customHeight="1" x14ac:dyDescent="0.4">
      <c r="B37" s="345" t="s">
        <v>307</v>
      </c>
      <c r="C37" s="395"/>
      <c r="D37" s="177"/>
      <c r="E37" s="395"/>
      <c r="F37" s="396"/>
      <c r="G37" s="419">
        <f>G36</f>
        <v>200</v>
      </c>
      <c r="H37" s="418"/>
      <c r="I37" s="191">
        <f>G37-J33-J34-J37</f>
        <v>200</v>
      </c>
      <c r="J37" s="142"/>
      <c r="K37" s="185"/>
      <c r="L37" s="198">
        <f t="shared" si="1"/>
        <v>0</v>
      </c>
    </row>
    <row r="38" spans="2:16" ht="16.2" customHeight="1" x14ac:dyDescent="0.4">
      <c r="B38" s="175">
        <v>17</v>
      </c>
      <c r="C38" s="395"/>
      <c r="D38" s="177">
        <v>2847</v>
      </c>
      <c r="E38" s="395"/>
      <c r="F38" s="396" t="s">
        <v>685</v>
      </c>
      <c r="G38" s="407">
        <v>100</v>
      </c>
      <c r="H38" s="418"/>
      <c r="I38" s="177"/>
      <c r="J38" s="142"/>
      <c r="K38" s="185"/>
      <c r="L38" s="198">
        <f t="shared" si="1"/>
        <v>0</v>
      </c>
    </row>
    <row r="39" spans="2:16" ht="16.2" customHeight="1" x14ac:dyDescent="0.4">
      <c r="B39" s="175">
        <v>17</v>
      </c>
      <c r="C39" s="395"/>
      <c r="D39" s="177">
        <v>2848</v>
      </c>
      <c r="E39" s="395"/>
      <c r="F39" s="396" t="s">
        <v>41</v>
      </c>
      <c r="G39" s="407">
        <v>100</v>
      </c>
      <c r="H39" s="418"/>
      <c r="I39" s="177"/>
      <c r="J39" s="142"/>
      <c r="K39" s="185"/>
      <c r="L39" s="198">
        <f t="shared" si="1"/>
        <v>0</v>
      </c>
    </row>
    <row r="40" spans="2:16" ht="16.2" customHeight="1" x14ac:dyDescent="0.4">
      <c r="B40" s="175">
        <v>17</v>
      </c>
      <c r="C40" s="395"/>
      <c r="D40" s="177">
        <v>2849</v>
      </c>
      <c r="E40" s="395"/>
      <c r="F40" s="396" t="s">
        <v>686</v>
      </c>
      <c r="G40" s="407">
        <v>200</v>
      </c>
      <c r="H40" s="418"/>
      <c r="I40" s="177"/>
      <c r="J40" s="142"/>
      <c r="K40" s="185"/>
      <c r="L40" s="198">
        <f t="shared" si="1"/>
        <v>0</v>
      </c>
    </row>
    <row r="41" spans="2:16" ht="16.2" customHeight="1" x14ac:dyDescent="0.4">
      <c r="B41" s="345" t="s">
        <v>307</v>
      </c>
      <c r="C41" s="395"/>
      <c r="D41" s="177"/>
      <c r="E41" s="395"/>
      <c r="F41" s="396"/>
      <c r="G41" s="419">
        <f>SUM(G38:G40)</f>
        <v>400</v>
      </c>
      <c r="H41" s="418"/>
      <c r="I41" s="191">
        <f>G41-J37-J38-J41</f>
        <v>400</v>
      </c>
      <c r="J41" s="142"/>
      <c r="K41" s="185"/>
      <c r="L41" s="198">
        <f t="shared" si="1"/>
        <v>0</v>
      </c>
    </row>
    <row r="42" spans="2:16" ht="16.2" customHeight="1" x14ac:dyDescent="0.4">
      <c r="B42" s="175">
        <v>18</v>
      </c>
      <c r="C42" s="395"/>
      <c r="D42" s="177">
        <f>1+D40</f>
        <v>2850</v>
      </c>
      <c r="E42" s="395"/>
      <c r="F42" s="396" t="s">
        <v>41</v>
      </c>
      <c r="G42" s="407">
        <v>100</v>
      </c>
      <c r="H42" s="418"/>
      <c r="I42" s="177"/>
      <c r="J42" s="142"/>
      <c r="K42" s="185"/>
      <c r="L42" s="198">
        <f t="shared" si="1"/>
        <v>0</v>
      </c>
    </row>
    <row r="43" spans="2:16" ht="16.2" customHeight="1" x14ac:dyDescent="0.4">
      <c r="B43" s="175">
        <v>18</v>
      </c>
      <c r="C43" s="395"/>
      <c r="D43" s="177">
        <f t="shared" ref="D43:D72" si="3">1+D42</f>
        <v>2851</v>
      </c>
      <c r="E43" s="395"/>
      <c r="F43" s="396" t="s">
        <v>345</v>
      </c>
      <c r="G43" s="407">
        <v>100</v>
      </c>
      <c r="H43" s="418"/>
      <c r="I43" s="177"/>
      <c r="J43" s="142"/>
      <c r="K43" s="185"/>
      <c r="L43" s="198">
        <f t="shared" si="1"/>
        <v>0</v>
      </c>
    </row>
    <row r="44" spans="2:16" ht="16.2" customHeight="1" x14ac:dyDescent="0.4">
      <c r="B44" s="175">
        <v>18</v>
      </c>
      <c r="C44" s="395"/>
      <c r="D44" s="177">
        <f t="shared" si="3"/>
        <v>2852</v>
      </c>
      <c r="E44" s="395"/>
      <c r="F44" s="396" t="s">
        <v>434</v>
      </c>
      <c r="G44" s="407">
        <v>200</v>
      </c>
      <c r="H44" s="418"/>
      <c r="I44" s="177"/>
      <c r="J44" s="142"/>
      <c r="K44" s="185"/>
      <c r="L44" s="198">
        <f t="shared" si="1"/>
        <v>0</v>
      </c>
    </row>
    <row r="45" spans="2:16" ht="16.2" customHeight="1" x14ac:dyDescent="0.4">
      <c r="B45" s="175">
        <v>18</v>
      </c>
      <c r="C45" s="395"/>
      <c r="D45" s="177">
        <f t="shared" si="3"/>
        <v>2853</v>
      </c>
      <c r="E45" s="395"/>
      <c r="F45" s="396" t="s">
        <v>85</v>
      </c>
      <c r="G45" s="407">
        <v>750</v>
      </c>
      <c r="H45" s="418"/>
      <c r="I45" s="177"/>
      <c r="J45" s="142" t="s">
        <v>245</v>
      </c>
      <c r="K45" s="185" t="s">
        <v>245</v>
      </c>
      <c r="L45" s="198" t="s">
        <v>245</v>
      </c>
      <c r="P45" s="403">
        <v>750</v>
      </c>
    </row>
    <row r="46" spans="2:16" ht="16.2" customHeight="1" x14ac:dyDescent="0.4">
      <c r="B46" s="345" t="s">
        <v>307</v>
      </c>
      <c r="C46" s="395"/>
      <c r="D46" s="177"/>
      <c r="E46" s="395"/>
      <c r="F46" s="396"/>
      <c r="G46" s="419">
        <f>SUM(G42:G45)</f>
        <v>1150</v>
      </c>
      <c r="H46" s="418"/>
      <c r="I46" s="191">
        <f>G46-J46</f>
        <v>150</v>
      </c>
      <c r="J46" s="142">
        <v>1000</v>
      </c>
      <c r="K46" s="185">
        <v>500</v>
      </c>
      <c r="L46" s="198">
        <f t="shared" si="1"/>
        <v>1500</v>
      </c>
      <c r="M46" s="272" t="s">
        <v>706</v>
      </c>
    </row>
    <row r="47" spans="2:16" ht="16.2" customHeight="1" x14ac:dyDescent="0.4">
      <c r="B47" s="175">
        <v>19</v>
      </c>
      <c r="C47" s="395"/>
      <c r="D47" s="177">
        <f>1+D45</f>
        <v>2854</v>
      </c>
      <c r="E47" s="395"/>
      <c r="F47" s="396" t="s">
        <v>203</v>
      </c>
      <c r="G47" s="407">
        <v>1500</v>
      </c>
      <c r="H47" s="418"/>
      <c r="I47" s="177"/>
      <c r="J47" s="142">
        <v>0</v>
      </c>
      <c r="K47" s="185"/>
      <c r="L47" s="198">
        <f t="shared" si="1"/>
        <v>0</v>
      </c>
      <c r="M47" s="272" t="s">
        <v>245</v>
      </c>
      <c r="P47" s="403">
        <v>1500</v>
      </c>
    </row>
    <row r="48" spans="2:16" ht="16.2" customHeight="1" x14ac:dyDescent="0.4">
      <c r="B48" s="175">
        <v>19</v>
      </c>
      <c r="C48" s="395"/>
      <c r="D48" s="177">
        <f t="shared" si="3"/>
        <v>2855</v>
      </c>
      <c r="E48" s="395"/>
      <c r="F48" s="396" t="s">
        <v>345</v>
      </c>
      <c r="G48" s="407">
        <v>100</v>
      </c>
      <c r="H48" s="418"/>
      <c r="I48" s="177"/>
      <c r="J48" s="142"/>
      <c r="K48" s="185"/>
      <c r="L48" s="198">
        <f t="shared" si="1"/>
        <v>0</v>
      </c>
    </row>
    <row r="49" spans="2:16" ht="16.2" customHeight="1" x14ac:dyDescent="0.4">
      <c r="B49" s="175">
        <v>19</v>
      </c>
      <c r="C49" s="395"/>
      <c r="D49" s="177">
        <f t="shared" si="3"/>
        <v>2856</v>
      </c>
      <c r="E49" s="395"/>
      <c r="F49" s="396" t="s">
        <v>434</v>
      </c>
      <c r="G49" s="407">
        <v>200</v>
      </c>
      <c r="H49" s="418"/>
      <c r="I49" s="177"/>
      <c r="J49" s="142"/>
      <c r="K49" s="185"/>
      <c r="L49" s="198">
        <f t="shared" si="1"/>
        <v>0</v>
      </c>
    </row>
    <row r="50" spans="2:16" ht="16.2" customHeight="1" x14ac:dyDescent="0.4">
      <c r="B50" s="345" t="s">
        <v>307</v>
      </c>
      <c r="C50" s="395"/>
      <c r="D50" s="177"/>
      <c r="E50" s="395"/>
      <c r="F50" s="396"/>
      <c r="G50" s="419">
        <f>SUM(G47:G49)</f>
        <v>1800</v>
      </c>
      <c r="H50" s="418"/>
      <c r="I50" s="191">
        <f>G50-J50</f>
        <v>300</v>
      </c>
      <c r="J50" s="142">
        <v>1500</v>
      </c>
      <c r="K50" s="185"/>
      <c r="L50" s="198">
        <f t="shared" si="1"/>
        <v>1500</v>
      </c>
      <c r="M50" s="272" t="s">
        <v>707</v>
      </c>
    </row>
    <row r="51" spans="2:16" ht="16.2" customHeight="1" x14ac:dyDescent="0.4">
      <c r="B51" s="175">
        <v>20</v>
      </c>
      <c r="C51" s="395"/>
      <c r="D51" s="177">
        <f>1+D49</f>
        <v>2857</v>
      </c>
      <c r="E51" s="395"/>
      <c r="F51" s="396" t="s">
        <v>22</v>
      </c>
      <c r="G51" s="407">
        <v>100</v>
      </c>
      <c r="H51" s="418"/>
      <c r="I51" s="177"/>
      <c r="J51" s="142"/>
      <c r="K51" s="185"/>
      <c r="L51" s="198">
        <f t="shared" si="1"/>
        <v>0</v>
      </c>
    </row>
    <row r="52" spans="2:16" ht="16.2" customHeight="1" x14ac:dyDescent="0.4">
      <c r="B52" s="175">
        <v>20</v>
      </c>
      <c r="C52" s="395"/>
      <c r="D52" s="177">
        <f t="shared" si="3"/>
        <v>2858</v>
      </c>
      <c r="E52" s="395"/>
      <c r="F52" s="396" t="s">
        <v>41</v>
      </c>
      <c r="G52" s="407">
        <v>100</v>
      </c>
      <c r="H52" s="418"/>
      <c r="I52" s="177"/>
      <c r="J52" s="142"/>
      <c r="K52" s="185"/>
      <c r="L52" s="198">
        <f t="shared" si="1"/>
        <v>0</v>
      </c>
    </row>
    <row r="53" spans="2:16" ht="16.2" customHeight="1" x14ac:dyDescent="0.4">
      <c r="B53" s="175">
        <v>20</v>
      </c>
      <c r="C53" s="395"/>
      <c r="D53" s="177">
        <f t="shared" si="3"/>
        <v>2859</v>
      </c>
      <c r="E53" s="395"/>
      <c r="F53" s="396" t="s">
        <v>110</v>
      </c>
      <c r="G53" s="407">
        <v>100</v>
      </c>
      <c r="H53" s="418"/>
      <c r="I53" s="177"/>
      <c r="J53" s="142"/>
      <c r="K53" s="185"/>
      <c r="L53" s="198">
        <f t="shared" si="1"/>
        <v>0</v>
      </c>
    </row>
    <row r="54" spans="2:16" ht="16.2" customHeight="1" x14ac:dyDescent="0.4">
      <c r="B54" s="175">
        <v>20</v>
      </c>
      <c r="C54" s="395"/>
      <c r="D54" s="177">
        <f t="shared" si="3"/>
        <v>2860</v>
      </c>
      <c r="E54" s="395"/>
      <c r="F54" s="396" t="s">
        <v>687</v>
      </c>
      <c r="G54" s="407">
        <v>100</v>
      </c>
      <c r="H54" s="418"/>
      <c r="I54" s="177"/>
      <c r="J54" s="142"/>
      <c r="K54" s="185"/>
      <c r="L54" s="198">
        <f t="shared" si="1"/>
        <v>0</v>
      </c>
    </row>
    <row r="55" spans="2:16" ht="16.2" customHeight="1" x14ac:dyDescent="0.4">
      <c r="B55" s="345" t="s">
        <v>307</v>
      </c>
      <c r="C55" s="395"/>
      <c r="D55" s="177"/>
      <c r="E55" s="395"/>
      <c r="F55" s="396"/>
      <c r="G55" s="419">
        <f>SUM(G51:G54)</f>
        <v>400</v>
      </c>
      <c r="H55" s="418"/>
      <c r="I55" s="191">
        <f>G55-J51-J52-J55</f>
        <v>400</v>
      </c>
      <c r="J55" s="142"/>
      <c r="K55" s="185"/>
      <c r="L55" s="198">
        <f t="shared" si="1"/>
        <v>0</v>
      </c>
    </row>
    <row r="56" spans="2:16" ht="16.2" customHeight="1" x14ac:dyDescent="0.4">
      <c r="B56" s="175">
        <v>21</v>
      </c>
      <c r="C56" s="395"/>
      <c r="D56" s="177">
        <f>1+D54</f>
        <v>2861</v>
      </c>
      <c r="E56" s="395"/>
      <c r="F56" s="396" t="s">
        <v>20</v>
      </c>
      <c r="G56" s="420">
        <v>50</v>
      </c>
      <c r="H56" s="418"/>
      <c r="I56" s="177"/>
      <c r="J56" s="142"/>
      <c r="K56" s="185"/>
      <c r="L56" s="198">
        <f t="shared" si="1"/>
        <v>0</v>
      </c>
    </row>
    <row r="57" spans="2:16" ht="16.2" customHeight="1" x14ac:dyDescent="0.4">
      <c r="B57" s="175">
        <v>21</v>
      </c>
      <c r="C57" s="395"/>
      <c r="D57" s="177">
        <f t="shared" si="3"/>
        <v>2862</v>
      </c>
      <c r="E57" s="395"/>
      <c r="F57" s="396" t="s">
        <v>688</v>
      </c>
      <c r="G57" s="407">
        <v>150</v>
      </c>
      <c r="H57" s="418"/>
      <c r="I57" s="177"/>
      <c r="J57" s="142"/>
      <c r="K57" s="185"/>
      <c r="L57" s="198">
        <f t="shared" si="1"/>
        <v>0</v>
      </c>
    </row>
    <row r="58" spans="2:16" ht="16.2" customHeight="1" x14ac:dyDescent="0.4">
      <c r="B58" s="345" t="s">
        <v>307</v>
      </c>
      <c r="C58" s="395"/>
      <c r="D58" s="177"/>
      <c r="E58" s="395"/>
      <c r="F58" s="396"/>
      <c r="G58" s="419">
        <f>SUM(G56:G57)</f>
        <v>200</v>
      </c>
      <c r="H58" s="418"/>
      <c r="I58" s="191">
        <f>G58-J54-J55-J58</f>
        <v>200</v>
      </c>
      <c r="J58" s="142"/>
      <c r="K58" s="185"/>
      <c r="L58" s="198">
        <f t="shared" si="1"/>
        <v>0</v>
      </c>
    </row>
    <row r="59" spans="2:16" ht="16.2" customHeight="1" x14ac:dyDescent="0.4">
      <c r="B59" s="175">
        <v>22</v>
      </c>
      <c r="C59" s="395"/>
      <c r="D59" s="177">
        <f>1+D57</f>
        <v>2863</v>
      </c>
      <c r="E59" s="395"/>
      <c r="F59" s="396" t="s">
        <v>689</v>
      </c>
      <c r="G59" s="407">
        <v>100</v>
      </c>
      <c r="H59" s="418"/>
      <c r="I59" s="177"/>
      <c r="J59" s="142"/>
      <c r="K59" s="185"/>
      <c r="L59" s="198">
        <f t="shared" si="1"/>
        <v>0</v>
      </c>
    </row>
    <row r="60" spans="2:16" ht="16.2" customHeight="1" x14ac:dyDescent="0.4">
      <c r="B60" s="175">
        <v>22</v>
      </c>
      <c r="C60" s="395"/>
      <c r="D60" s="177">
        <f t="shared" si="3"/>
        <v>2864</v>
      </c>
      <c r="E60" s="395"/>
      <c r="F60" s="396" t="s">
        <v>690</v>
      </c>
      <c r="G60" s="407">
        <v>100</v>
      </c>
      <c r="H60" s="418"/>
      <c r="I60" s="177"/>
      <c r="J60" s="142"/>
      <c r="K60" s="185"/>
      <c r="L60" s="198">
        <f t="shared" si="1"/>
        <v>0</v>
      </c>
    </row>
    <row r="61" spans="2:16" ht="16.2" customHeight="1" x14ac:dyDescent="0.4">
      <c r="B61" s="175">
        <v>22</v>
      </c>
      <c r="C61" s="395"/>
      <c r="D61" s="177">
        <f t="shared" si="3"/>
        <v>2865</v>
      </c>
      <c r="E61" s="395"/>
      <c r="F61" s="396" t="s">
        <v>403</v>
      </c>
      <c r="G61" s="407">
        <v>100</v>
      </c>
      <c r="H61" s="418"/>
      <c r="I61" s="177"/>
      <c r="J61" s="142"/>
      <c r="K61" s="185"/>
      <c r="L61" s="198">
        <f t="shared" si="1"/>
        <v>0</v>
      </c>
    </row>
    <row r="62" spans="2:16" ht="16.2" customHeight="1" x14ac:dyDescent="0.4">
      <c r="B62" s="175">
        <v>22</v>
      </c>
      <c r="C62" s="395"/>
      <c r="D62" s="177">
        <f t="shared" si="3"/>
        <v>2866</v>
      </c>
      <c r="E62" s="395"/>
      <c r="F62" s="396" t="s">
        <v>20</v>
      </c>
      <c r="G62" s="407">
        <v>1500</v>
      </c>
      <c r="H62" s="418"/>
      <c r="I62" s="177"/>
      <c r="J62" s="142">
        <v>0</v>
      </c>
      <c r="K62" s="185"/>
      <c r="L62" s="198">
        <f t="shared" si="1"/>
        <v>0</v>
      </c>
      <c r="M62" s="272" t="s">
        <v>683</v>
      </c>
      <c r="P62" s="403">
        <v>1500</v>
      </c>
    </row>
    <row r="63" spans="2:16" ht="16.2" customHeight="1" thickBot="1" x14ac:dyDescent="0.45">
      <c r="B63" s="151">
        <v>22</v>
      </c>
      <c r="C63" s="428"/>
      <c r="D63" s="429">
        <f t="shared" si="3"/>
        <v>2867</v>
      </c>
      <c r="E63" s="428"/>
      <c r="F63" s="430" t="s">
        <v>691</v>
      </c>
      <c r="G63" s="431">
        <v>1500</v>
      </c>
      <c r="H63" s="432"/>
      <c r="I63" s="429"/>
      <c r="J63" s="433"/>
      <c r="K63" s="434"/>
      <c r="L63" s="435">
        <f t="shared" si="1"/>
        <v>0</v>
      </c>
      <c r="M63" s="272" t="s">
        <v>683</v>
      </c>
      <c r="P63" s="403">
        <v>1500</v>
      </c>
    </row>
    <row r="64" spans="2:16" ht="16.2" customHeight="1" x14ac:dyDescent="0.4">
      <c r="B64" s="422">
        <v>22</v>
      </c>
      <c r="C64" s="19"/>
      <c r="D64" s="157">
        <f t="shared" si="3"/>
        <v>2868</v>
      </c>
      <c r="E64" s="19"/>
      <c r="F64" s="170" t="s">
        <v>749</v>
      </c>
      <c r="G64" s="423">
        <v>1000</v>
      </c>
      <c r="H64" s="424"/>
      <c r="I64" s="157"/>
      <c r="J64" s="425"/>
      <c r="K64" s="426"/>
      <c r="L64" s="427">
        <f t="shared" si="1"/>
        <v>0</v>
      </c>
      <c r="M64" s="272" t="s">
        <v>683</v>
      </c>
      <c r="P64" s="403">
        <v>1000</v>
      </c>
    </row>
    <row r="65" spans="2:16" ht="16.2" customHeight="1" x14ac:dyDescent="0.4">
      <c r="B65" s="175">
        <v>22</v>
      </c>
      <c r="C65" s="395"/>
      <c r="D65" s="177">
        <f t="shared" si="3"/>
        <v>2869</v>
      </c>
      <c r="E65" s="395"/>
      <c r="F65" s="396" t="s">
        <v>692</v>
      </c>
      <c r="G65" s="407">
        <v>500</v>
      </c>
      <c r="H65" s="418"/>
      <c r="I65" s="177"/>
      <c r="J65" s="142"/>
      <c r="K65" s="185"/>
      <c r="L65" s="198">
        <f t="shared" si="1"/>
        <v>0</v>
      </c>
      <c r="M65" s="272" t="s">
        <v>683</v>
      </c>
    </row>
    <row r="66" spans="2:16" ht="16.2" customHeight="1" x14ac:dyDescent="0.4">
      <c r="B66" s="345" t="s">
        <v>307</v>
      </c>
      <c r="C66" s="395"/>
      <c r="D66" s="177"/>
      <c r="E66" s="395"/>
      <c r="F66" s="396"/>
      <c r="G66" s="419">
        <f>SUM(G59:G65)</f>
        <v>4800</v>
      </c>
      <c r="H66" s="418"/>
      <c r="I66" s="191">
        <f>G66-J66</f>
        <v>300</v>
      </c>
      <c r="J66" s="142">
        <f>1500+1500+1500</f>
        <v>4500</v>
      </c>
      <c r="K66" s="185"/>
      <c r="L66" s="198">
        <f t="shared" si="1"/>
        <v>4500</v>
      </c>
      <c r="M66" s="272" t="s">
        <v>710</v>
      </c>
    </row>
    <row r="67" spans="2:16" ht="16.2" customHeight="1" x14ac:dyDescent="0.4">
      <c r="B67" s="175">
        <v>23</v>
      </c>
      <c r="C67" s="395"/>
      <c r="D67" s="177">
        <f>1+D65</f>
        <v>2870</v>
      </c>
      <c r="E67" s="395"/>
      <c r="F67" s="396" t="s">
        <v>689</v>
      </c>
      <c r="G67" s="407">
        <v>100</v>
      </c>
      <c r="H67" s="418"/>
      <c r="I67" s="177"/>
      <c r="J67" s="142"/>
      <c r="K67" s="185"/>
      <c r="L67" s="198">
        <f t="shared" si="1"/>
        <v>0</v>
      </c>
    </row>
    <row r="68" spans="2:16" ht="16.2" customHeight="1" x14ac:dyDescent="0.4">
      <c r="B68" s="175">
        <v>23</v>
      </c>
      <c r="C68" s="395"/>
      <c r="D68" s="177">
        <f t="shared" si="3"/>
        <v>2871</v>
      </c>
      <c r="E68" s="395"/>
      <c r="F68" s="396" t="s">
        <v>41</v>
      </c>
      <c r="G68" s="407">
        <v>100</v>
      </c>
      <c r="H68" s="418"/>
      <c r="I68" s="177"/>
      <c r="J68" s="142"/>
      <c r="K68" s="185"/>
      <c r="L68" s="198">
        <f t="shared" si="1"/>
        <v>0</v>
      </c>
    </row>
    <row r="69" spans="2:16" ht="16.2" customHeight="1" x14ac:dyDescent="0.4">
      <c r="B69" s="175">
        <v>23</v>
      </c>
      <c r="C69" s="395"/>
      <c r="D69" s="177">
        <f t="shared" si="3"/>
        <v>2872</v>
      </c>
      <c r="E69" s="395"/>
      <c r="F69" s="396" t="s">
        <v>402</v>
      </c>
      <c r="G69" s="407">
        <v>100</v>
      </c>
      <c r="H69" s="418"/>
      <c r="I69" s="177"/>
      <c r="J69" s="142"/>
      <c r="K69" s="185"/>
      <c r="L69" s="198">
        <f t="shared" si="1"/>
        <v>0</v>
      </c>
    </row>
    <row r="70" spans="2:16" ht="16.2" customHeight="1" x14ac:dyDescent="0.4">
      <c r="B70" s="175">
        <v>23</v>
      </c>
      <c r="C70" s="395"/>
      <c r="D70" s="177">
        <f t="shared" si="3"/>
        <v>2873</v>
      </c>
      <c r="E70" s="395"/>
      <c r="F70" s="396" t="s">
        <v>693</v>
      </c>
      <c r="G70" s="407">
        <v>100</v>
      </c>
      <c r="H70" s="418"/>
      <c r="I70" s="177"/>
      <c r="J70" s="142"/>
      <c r="K70" s="185"/>
      <c r="L70" s="198">
        <f t="shared" si="1"/>
        <v>0</v>
      </c>
    </row>
    <row r="71" spans="2:16" ht="16.2" customHeight="1" x14ac:dyDescent="0.4">
      <c r="B71" s="175">
        <v>23</v>
      </c>
      <c r="C71" s="395"/>
      <c r="D71" s="177">
        <f t="shared" si="3"/>
        <v>2874</v>
      </c>
      <c r="E71" s="395"/>
      <c r="F71" s="396" t="s">
        <v>694</v>
      </c>
      <c r="G71" s="407">
        <v>100</v>
      </c>
      <c r="H71" s="418"/>
      <c r="I71" s="177"/>
      <c r="J71" s="142"/>
      <c r="K71" s="185"/>
      <c r="L71" s="198">
        <f t="shared" si="1"/>
        <v>0</v>
      </c>
    </row>
    <row r="72" spans="2:16" ht="16.2" customHeight="1" x14ac:dyDescent="0.4">
      <c r="B72" s="138">
        <v>23</v>
      </c>
      <c r="C72" s="395"/>
      <c r="D72" s="177">
        <f t="shared" si="3"/>
        <v>2875</v>
      </c>
      <c r="E72" s="395"/>
      <c r="F72" s="396" t="s">
        <v>695</v>
      </c>
      <c r="G72" s="407">
        <v>1000</v>
      </c>
      <c r="H72" s="418"/>
      <c r="I72" s="177"/>
      <c r="J72" s="142"/>
      <c r="K72" s="185"/>
      <c r="L72" s="198">
        <f t="shared" si="1"/>
        <v>0</v>
      </c>
      <c r="M72" t="s">
        <v>245</v>
      </c>
      <c r="P72" s="403">
        <v>1000</v>
      </c>
    </row>
    <row r="73" spans="2:16" ht="16.2" customHeight="1" x14ac:dyDescent="0.4">
      <c r="B73" s="345" t="s">
        <v>307</v>
      </c>
      <c r="C73" s="395"/>
      <c r="D73" s="177"/>
      <c r="E73" s="395"/>
      <c r="F73" s="396"/>
      <c r="G73" s="419">
        <f>SUM(G67:G72)</f>
        <v>1500</v>
      </c>
      <c r="H73" s="418"/>
      <c r="I73" s="191">
        <f>G73-J73</f>
        <v>0</v>
      </c>
      <c r="J73" s="142">
        <v>1500</v>
      </c>
      <c r="K73" s="185"/>
      <c r="L73" s="198">
        <f t="shared" si="1"/>
        <v>1500</v>
      </c>
      <c r="M73" s="272" t="s">
        <v>709</v>
      </c>
    </row>
    <row r="74" spans="2:16" ht="16.2" customHeight="1" x14ac:dyDescent="0.4">
      <c r="B74" s="138">
        <v>25</v>
      </c>
      <c r="C74" s="395"/>
      <c r="D74" s="177">
        <f>2876</f>
        <v>2876</v>
      </c>
      <c r="E74" s="395"/>
      <c r="F74" s="396" t="s">
        <v>129</v>
      </c>
      <c r="G74" s="407">
        <v>100</v>
      </c>
      <c r="H74" s="418"/>
      <c r="I74" s="177"/>
      <c r="J74" s="142"/>
      <c r="K74" s="185"/>
      <c r="L74" s="198">
        <f t="shared" si="1"/>
        <v>0</v>
      </c>
    </row>
    <row r="75" spans="2:16" ht="16.2" customHeight="1" x14ac:dyDescent="0.4">
      <c r="B75" s="138">
        <v>25</v>
      </c>
      <c r="C75" s="395"/>
      <c r="D75" s="177">
        <f>1+D74</f>
        <v>2877</v>
      </c>
      <c r="E75" s="395"/>
      <c r="F75" s="396" t="s">
        <v>750</v>
      </c>
      <c r="G75" s="407">
        <v>1500</v>
      </c>
      <c r="H75" s="418"/>
      <c r="I75" s="177"/>
      <c r="J75" s="142"/>
      <c r="K75" s="185"/>
      <c r="L75" s="198">
        <f t="shared" si="1"/>
        <v>0</v>
      </c>
      <c r="M75" s="272" t="s">
        <v>245</v>
      </c>
    </row>
    <row r="76" spans="2:16" ht="16.2" customHeight="1" x14ac:dyDescent="0.4">
      <c r="B76" s="345" t="s">
        <v>307</v>
      </c>
      <c r="C76" s="395"/>
      <c r="D76" s="177"/>
      <c r="E76" s="395"/>
      <c r="F76" s="396"/>
      <c r="G76" s="419">
        <f>SUM(G74:G75)</f>
        <v>1600</v>
      </c>
      <c r="H76" s="418"/>
      <c r="I76" s="191">
        <f>G76-J76</f>
        <v>100</v>
      </c>
      <c r="J76" s="142">
        <v>1500</v>
      </c>
      <c r="K76" s="185"/>
      <c r="L76" s="198">
        <f t="shared" si="1"/>
        <v>1500</v>
      </c>
      <c r="M76" s="272" t="s">
        <v>708</v>
      </c>
      <c r="P76" s="403">
        <v>1500</v>
      </c>
    </row>
    <row r="77" spans="2:16" ht="16.2" customHeight="1" x14ac:dyDescent="0.4">
      <c r="B77" s="138">
        <v>29</v>
      </c>
      <c r="C77" s="395"/>
      <c r="D77" s="177">
        <f>1+D75</f>
        <v>2878</v>
      </c>
      <c r="E77" s="395"/>
      <c r="F77" s="396" t="s">
        <v>85</v>
      </c>
      <c r="G77" s="407">
        <v>100</v>
      </c>
      <c r="H77" s="418"/>
      <c r="I77" s="177"/>
      <c r="J77" s="142"/>
      <c r="K77" s="185"/>
      <c r="L77" s="198">
        <f t="shared" si="1"/>
        <v>0</v>
      </c>
    </row>
    <row r="78" spans="2:16" ht="16.2" customHeight="1" x14ac:dyDescent="0.4">
      <c r="B78" s="175">
        <v>29</v>
      </c>
      <c r="C78" s="395"/>
      <c r="D78" s="177">
        <f>1+D77</f>
        <v>2879</v>
      </c>
      <c r="E78" s="395"/>
      <c r="F78" s="396" t="s">
        <v>129</v>
      </c>
      <c r="G78" s="407">
        <v>100</v>
      </c>
      <c r="H78" s="418"/>
      <c r="I78" s="177"/>
      <c r="J78" s="142"/>
      <c r="K78" s="185"/>
      <c r="L78" s="198">
        <f t="shared" si="1"/>
        <v>0</v>
      </c>
    </row>
    <row r="79" spans="2:16" ht="16.2" customHeight="1" x14ac:dyDescent="0.4">
      <c r="B79" s="175">
        <v>29</v>
      </c>
      <c r="C79" s="395"/>
      <c r="D79" s="177">
        <f>1+D78</f>
        <v>2880</v>
      </c>
      <c r="E79" s="395"/>
      <c r="F79" s="396" t="s">
        <v>41</v>
      </c>
      <c r="G79" s="407">
        <v>100</v>
      </c>
      <c r="H79" s="418"/>
      <c r="I79" s="177"/>
      <c r="J79" s="142"/>
      <c r="K79" s="185"/>
      <c r="L79" s="198">
        <f t="shared" si="1"/>
        <v>0</v>
      </c>
    </row>
    <row r="80" spans="2:16" ht="16.2" customHeight="1" x14ac:dyDescent="0.4">
      <c r="B80" s="138">
        <v>29</v>
      </c>
      <c r="C80" s="141"/>
      <c r="D80" s="140">
        <f>1+D79</f>
        <v>2881</v>
      </c>
      <c r="E80" s="141"/>
      <c r="F80" s="172" t="s">
        <v>696</v>
      </c>
      <c r="G80" s="275">
        <v>100</v>
      </c>
      <c r="H80" s="417"/>
      <c r="I80" s="140"/>
      <c r="J80" s="142"/>
      <c r="K80" s="185"/>
      <c r="L80" s="198">
        <f t="shared" si="1"/>
        <v>0</v>
      </c>
    </row>
    <row r="81" spans="2:13" ht="18" customHeight="1" thickBot="1" x14ac:dyDescent="0.5">
      <c r="B81" s="154" t="s">
        <v>307</v>
      </c>
      <c r="D81" s="111"/>
      <c r="F81" s="298"/>
      <c r="G81" s="398">
        <f>SUM(G77:G80)</f>
        <v>400</v>
      </c>
      <c r="H81" s="398"/>
      <c r="I81" s="421">
        <f>G81-J81</f>
        <v>0</v>
      </c>
      <c r="J81" s="142">
        <v>400</v>
      </c>
      <c r="K81" s="185">
        <v>600</v>
      </c>
      <c r="L81" s="198">
        <f>J81+K81</f>
        <v>1000</v>
      </c>
      <c r="M81" s="135"/>
    </row>
    <row r="82" spans="2:13" ht="16.2" hidden="1" customHeight="1" x14ac:dyDescent="0.4">
      <c r="B82" s="138">
        <v>19</v>
      </c>
      <c r="C82" s="141"/>
      <c r="D82" s="140">
        <v>2792</v>
      </c>
      <c r="E82" s="141"/>
      <c r="F82" s="172" t="s">
        <v>158</v>
      </c>
      <c r="G82" s="158"/>
      <c r="H82" s="159"/>
      <c r="I82" s="140"/>
      <c r="J82" s="179"/>
      <c r="K82" s="185"/>
      <c r="L82" s="199"/>
    </row>
    <row r="83" spans="2:13" ht="16.2" hidden="1" customHeight="1" x14ac:dyDescent="0.4">
      <c r="B83" s="138">
        <v>19</v>
      </c>
      <c r="C83" s="141"/>
      <c r="D83" s="140">
        <f>1+D82</f>
        <v>2793</v>
      </c>
      <c r="E83" s="141"/>
      <c r="F83" s="172" t="s">
        <v>41</v>
      </c>
      <c r="G83" s="275"/>
      <c r="H83" s="159"/>
      <c r="I83" s="162"/>
      <c r="J83" s="179"/>
      <c r="K83" s="185"/>
      <c r="L83" s="199"/>
    </row>
    <row r="84" spans="2:13" ht="16.2" hidden="1" customHeight="1" x14ac:dyDescent="0.4">
      <c r="B84" s="154" t="s">
        <v>307</v>
      </c>
      <c r="C84" s="141"/>
      <c r="D84" s="140"/>
      <c r="E84" s="141"/>
      <c r="F84" s="172"/>
      <c r="G84" s="334">
        <f>SUM(G82:G83)</f>
        <v>0</v>
      </c>
      <c r="H84" s="159"/>
      <c r="I84" s="162">
        <f>G84-J84</f>
        <v>0</v>
      </c>
      <c r="J84" s="179"/>
      <c r="K84" s="185"/>
      <c r="L84" s="199"/>
    </row>
    <row r="85" spans="2:13" ht="16.2" hidden="1" customHeight="1" x14ac:dyDescent="0.4">
      <c r="B85" s="138">
        <v>20</v>
      </c>
      <c r="C85" s="141"/>
      <c r="D85" s="140">
        <v>2794</v>
      </c>
      <c r="E85" s="141"/>
      <c r="F85" s="172" t="s">
        <v>550</v>
      </c>
      <c r="G85" s="275"/>
      <c r="H85" s="159"/>
      <c r="I85" s="140"/>
      <c r="J85" s="179"/>
      <c r="K85" s="185"/>
      <c r="L85" s="199"/>
    </row>
    <row r="86" spans="2:13" ht="16.2" hidden="1" customHeight="1" x14ac:dyDescent="0.4">
      <c r="B86" s="138">
        <v>20</v>
      </c>
      <c r="C86" s="141"/>
      <c r="D86" s="140">
        <f t="shared" ref="D86:D91" si="4">1+D85</f>
        <v>2795</v>
      </c>
      <c r="E86" s="141"/>
      <c r="F86" s="172" t="s">
        <v>551</v>
      </c>
      <c r="G86" s="275"/>
      <c r="H86" s="159"/>
      <c r="I86" s="140"/>
      <c r="J86" s="179"/>
      <c r="K86" s="185"/>
      <c r="L86" s="199"/>
    </row>
    <row r="87" spans="2:13" ht="16.2" hidden="1" customHeight="1" x14ac:dyDescent="0.4">
      <c r="B87" s="138">
        <v>20</v>
      </c>
      <c r="C87" s="141"/>
      <c r="D87" s="140">
        <f t="shared" si="4"/>
        <v>2796</v>
      </c>
      <c r="E87" s="141"/>
      <c r="F87" s="172" t="s">
        <v>552</v>
      </c>
      <c r="G87" s="275"/>
      <c r="H87" s="159"/>
      <c r="I87" s="140"/>
      <c r="J87" s="179"/>
      <c r="K87" s="185"/>
      <c r="L87" s="199"/>
    </row>
    <row r="88" spans="2:13" ht="16.2" hidden="1" customHeight="1" x14ac:dyDescent="0.4">
      <c r="B88" s="138">
        <v>20</v>
      </c>
      <c r="C88" s="141"/>
      <c r="D88" s="140">
        <f t="shared" si="4"/>
        <v>2797</v>
      </c>
      <c r="E88" s="141"/>
      <c r="F88" s="172" t="s">
        <v>33</v>
      </c>
      <c r="G88" s="275"/>
      <c r="H88" s="159"/>
      <c r="I88" s="140"/>
      <c r="J88" s="179"/>
      <c r="K88" s="185"/>
      <c r="L88" s="199"/>
    </row>
    <row r="89" spans="2:13" ht="16.2" hidden="1" customHeight="1" x14ac:dyDescent="0.4">
      <c r="B89" s="138">
        <v>20</v>
      </c>
      <c r="C89" s="141"/>
      <c r="D89" s="140">
        <f t="shared" si="4"/>
        <v>2798</v>
      </c>
      <c r="E89" s="141"/>
      <c r="F89" s="172" t="s">
        <v>553</v>
      </c>
      <c r="G89" s="275"/>
      <c r="H89" s="159"/>
      <c r="I89" s="140"/>
      <c r="J89" s="179"/>
      <c r="K89" s="185"/>
      <c r="L89" s="199"/>
    </row>
    <row r="90" spans="2:13" ht="16.2" hidden="1" customHeight="1" x14ac:dyDescent="0.4">
      <c r="B90" s="138">
        <v>20</v>
      </c>
      <c r="C90" s="141"/>
      <c r="D90" s="140">
        <f t="shared" si="4"/>
        <v>2799</v>
      </c>
      <c r="E90" s="141"/>
      <c r="F90" s="335" t="s">
        <v>554</v>
      </c>
      <c r="G90" s="275">
        <v>0</v>
      </c>
      <c r="H90" s="159"/>
      <c r="I90" s="140"/>
      <c r="J90" s="179"/>
      <c r="K90" s="185"/>
      <c r="L90" s="199"/>
    </row>
    <row r="91" spans="2:13" ht="16.2" hidden="1" customHeight="1" x14ac:dyDescent="0.4">
      <c r="B91" s="138">
        <v>20</v>
      </c>
      <c r="C91" s="141"/>
      <c r="D91" s="140">
        <f t="shared" si="4"/>
        <v>2800</v>
      </c>
      <c r="E91" s="141"/>
      <c r="F91" s="172" t="s">
        <v>121</v>
      </c>
      <c r="G91" s="348"/>
      <c r="H91" s="159"/>
      <c r="I91" s="140"/>
      <c r="J91" s="142"/>
      <c r="K91" s="185"/>
      <c r="L91" s="199"/>
    </row>
    <row r="92" spans="2:13" ht="16.2" hidden="1" customHeight="1" x14ac:dyDescent="0.4">
      <c r="B92" s="154" t="s">
        <v>307</v>
      </c>
      <c r="C92" s="141"/>
      <c r="D92" s="140"/>
      <c r="E92" s="141"/>
      <c r="F92" s="172"/>
      <c r="G92" s="334">
        <f>SUM(G85:G91)</f>
        <v>0</v>
      </c>
      <c r="H92" s="159"/>
      <c r="I92" s="162">
        <f>G92-J92</f>
        <v>0</v>
      </c>
      <c r="J92" s="142">
        <v>0</v>
      </c>
      <c r="K92" s="185"/>
      <c r="L92" s="198">
        <f>J92+K92</f>
        <v>0</v>
      </c>
    </row>
    <row r="93" spans="2:13" ht="16.2" hidden="1" customHeight="1" x14ac:dyDescent="0.4">
      <c r="B93" s="138">
        <v>12</v>
      </c>
      <c r="C93" s="141"/>
      <c r="D93" s="140">
        <v>2801</v>
      </c>
      <c r="E93" s="141"/>
      <c r="F93" s="172" t="s">
        <v>434</v>
      </c>
      <c r="G93" s="275"/>
      <c r="H93" s="159"/>
      <c r="I93" s="162"/>
      <c r="J93" s="142"/>
      <c r="K93" s="185"/>
      <c r="L93" s="198"/>
    </row>
    <row r="94" spans="2:13" ht="16.2" hidden="1" customHeight="1" x14ac:dyDescent="0.4">
      <c r="B94" s="138">
        <v>13</v>
      </c>
      <c r="C94" s="141"/>
      <c r="D94" s="140">
        <f t="shared" ref="D94:D99" si="5">1+D93</f>
        <v>2802</v>
      </c>
      <c r="E94" s="141"/>
      <c r="F94" s="347" t="s">
        <v>555</v>
      </c>
      <c r="G94" s="341"/>
      <c r="H94" s="159"/>
      <c r="I94" s="162"/>
      <c r="J94" s="142"/>
      <c r="K94" s="185"/>
      <c r="L94" s="198"/>
    </row>
    <row r="95" spans="2:13" ht="16.2" hidden="1" customHeight="1" x14ac:dyDescent="0.4">
      <c r="B95" s="138">
        <v>14</v>
      </c>
      <c r="C95" s="141"/>
      <c r="D95" s="140">
        <f t="shared" si="5"/>
        <v>2803</v>
      </c>
      <c r="E95" s="141"/>
      <c r="F95" s="347" t="s">
        <v>106</v>
      </c>
      <c r="G95" s="341"/>
      <c r="H95" s="159"/>
      <c r="I95" s="140"/>
      <c r="J95" s="142"/>
      <c r="K95" s="185"/>
      <c r="L95" s="199"/>
    </row>
    <row r="96" spans="2:13" ht="16.2" hidden="1" customHeight="1" x14ac:dyDescent="0.4">
      <c r="B96" s="138">
        <v>15</v>
      </c>
      <c r="C96" s="141"/>
      <c r="D96" s="140">
        <f t="shared" si="5"/>
        <v>2804</v>
      </c>
      <c r="E96" s="141"/>
      <c r="F96" s="347" t="s">
        <v>556</v>
      </c>
      <c r="G96" s="341"/>
      <c r="H96" s="159"/>
      <c r="I96" s="140"/>
      <c r="J96" s="142"/>
      <c r="K96" s="185"/>
      <c r="L96" s="199"/>
    </row>
    <row r="97" spans="2:16" ht="16.2" hidden="1" customHeight="1" x14ac:dyDescent="0.4">
      <c r="B97" s="138">
        <v>17</v>
      </c>
      <c r="C97" s="141"/>
      <c r="D97" s="140">
        <f t="shared" si="5"/>
        <v>2805</v>
      </c>
      <c r="E97" s="141"/>
      <c r="F97" s="172" t="s">
        <v>14</v>
      </c>
      <c r="G97" s="275"/>
      <c r="H97" s="159"/>
      <c r="I97" s="140"/>
      <c r="J97" s="142"/>
      <c r="K97" s="185"/>
      <c r="L97" s="199"/>
    </row>
    <row r="98" spans="2:16" ht="16.2" hidden="1" customHeight="1" x14ac:dyDescent="0.4">
      <c r="B98" s="138">
        <v>20</v>
      </c>
      <c r="C98" s="141"/>
      <c r="D98" s="140">
        <f t="shared" si="5"/>
        <v>2806</v>
      </c>
      <c r="E98" s="141"/>
      <c r="F98" s="172" t="s">
        <v>557</v>
      </c>
      <c r="G98" s="275"/>
      <c r="H98" s="159"/>
      <c r="I98" s="140"/>
      <c r="J98" s="142"/>
      <c r="K98" s="185"/>
      <c r="L98" s="199"/>
    </row>
    <row r="99" spans="2:16" ht="16.2" hidden="1" customHeight="1" x14ac:dyDescent="0.4">
      <c r="B99" s="138">
        <v>25</v>
      </c>
      <c r="C99" s="141"/>
      <c r="D99" s="140">
        <f t="shared" si="5"/>
        <v>2807</v>
      </c>
      <c r="E99" s="141"/>
      <c r="F99" s="172" t="s">
        <v>558</v>
      </c>
      <c r="G99" s="275"/>
      <c r="H99" s="159"/>
      <c r="I99" s="140"/>
      <c r="J99" s="142"/>
      <c r="K99" s="185"/>
      <c r="L99" s="199"/>
    </row>
    <row r="100" spans="2:16" ht="16.2" hidden="1" customHeight="1" x14ac:dyDescent="0.4">
      <c r="B100" s="345" t="s">
        <v>307</v>
      </c>
      <c r="C100" s="141"/>
      <c r="D100" s="140"/>
      <c r="E100" s="141"/>
      <c r="F100" s="172"/>
      <c r="G100" s="334">
        <f>SUM(G93:G99)</f>
        <v>0</v>
      </c>
      <c r="H100" s="159"/>
      <c r="I100" s="343">
        <f>G100-J100</f>
        <v>0</v>
      </c>
      <c r="J100" s="142">
        <v>0</v>
      </c>
      <c r="K100" s="185"/>
      <c r="L100" s="198">
        <f>J100+K100</f>
        <v>0</v>
      </c>
      <c r="M100" t="s">
        <v>570</v>
      </c>
    </row>
    <row r="101" spans="2:16" ht="16.2" hidden="1" customHeight="1" x14ac:dyDescent="0.4">
      <c r="B101" s="345" t="s">
        <v>307</v>
      </c>
      <c r="C101" s="19"/>
      <c r="D101" s="157"/>
      <c r="E101" s="19"/>
      <c r="F101" s="17" t="s">
        <v>571</v>
      </c>
      <c r="G101" s="349"/>
      <c r="H101" s="350"/>
      <c r="I101" s="343">
        <f>G101-J101</f>
        <v>0</v>
      </c>
      <c r="J101" s="216"/>
      <c r="K101" s="351"/>
      <c r="L101" s="352"/>
    </row>
    <row r="102" spans="2:16" ht="22.2" customHeight="1" thickBot="1" x14ac:dyDescent="0.45">
      <c r="B102" s="318" t="s">
        <v>297</v>
      </c>
      <c r="C102" s="319"/>
      <c r="D102" s="320"/>
      <c r="E102" s="321"/>
      <c r="F102" s="319"/>
      <c r="G102" s="322">
        <f>G81+G76+G73+G66+G58+G55+G50+G46+G41+G37+G35+G26+G19</f>
        <v>20750</v>
      </c>
      <c r="H102" s="322"/>
      <c r="I102" s="322">
        <f>I81+I76+I73+I66+I58+I55+I50+I46+I41+I37+I35+I26+I19</f>
        <v>4450</v>
      </c>
      <c r="J102" s="322">
        <f>J81+J76+J73+J66+J58+J55+J50+J46+J41+J37+J35+J26+J19</f>
        <v>16300</v>
      </c>
      <c r="K102" s="322">
        <f>K81+K76+K73+K66+K58+K55+K50+K46+K41+K37+K35+K26+K19</f>
        <v>1700</v>
      </c>
      <c r="L102" s="322">
        <f>L81+L76+L73+L66+L58+L55+L50+L46+L41+L37+L35+L26+L19</f>
        <v>18000</v>
      </c>
      <c r="P102" s="406">
        <f>SUM(P12:P81)</f>
        <v>11750</v>
      </c>
    </row>
    <row r="103" spans="2:16" ht="16.2" customHeight="1" x14ac:dyDescent="0.4">
      <c r="B103" s="9"/>
      <c r="C103" s="8"/>
      <c r="D103" s="19"/>
      <c r="E103" s="19"/>
      <c r="F103" s="8"/>
      <c r="G103" s="10"/>
      <c r="H103" s="10"/>
      <c r="I103" s="14" t="s">
        <v>245</v>
      </c>
      <c r="J103" s="14" t="s">
        <v>245</v>
      </c>
      <c r="K103" s="12"/>
      <c r="L103" s="15" t="s">
        <v>245</v>
      </c>
      <c r="P103" s="405">
        <v>10950</v>
      </c>
    </row>
    <row r="104" spans="2:16" ht="14.15" customHeight="1" x14ac:dyDescent="0.4">
      <c r="B104" s="8"/>
      <c r="C104" s="8"/>
      <c r="D104" s="8"/>
      <c r="E104" s="8"/>
      <c r="F104" s="19"/>
      <c r="G104" s="8"/>
      <c r="H104" s="8"/>
      <c r="I104" s="8"/>
      <c r="J104" s="8"/>
      <c r="K104" s="8"/>
    </row>
    <row r="105" spans="2:16" ht="14.15" customHeight="1" x14ac:dyDescent="0.4">
      <c r="B105" s="8"/>
      <c r="C105" s="8"/>
      <c r="D105" s="8"/>
      <c r="E105" s="8"/>
      <c r="F105" s="19"/>
      <c r="G105" s="8"/>
      <c r="H105" s="8"/>
      <c r="I105" s="8"/>
      <c r="J105" s="8"/>
      <c r="K105" s="8"/>
    </row>
    <row r="106" spans="2:16" ht="14.15" customHeight="1" x14ac:dyDescent="0.4">
      <c r="B106" s="267" t="s">
        <v>661</v>
      </c>
      <c r="C106" s="267"/>
      <c r="D106" s="267"/>
      <c r="E106" s="267"/>
      <c r="F106" s="19"/>
      <c r="G106" s="8"/>
      <c r="H106" s="8"/>
      <c r="I106" s="8"/>
      <c r="J106" s="8"/>
      <c r="K106" s="8"/>
    </row>
    <row r="107" spans="2:16" ht="14.15" customHeight="1" thickBot="1" x14ac:dyDescent="0.45">
      <c r="B107" s="19" t="s">
        <v>245</v>
      </c>
      <c r="C107" s="8"/>
      <c r="D107" s="8"/>
      <c r="E107" s="8"/>
      <c r="F107" s="19"/>
      <c r="G107" s="19"/>
      <c r="H107" s="19"/>
      <c r="I107" s="19"/>
      <c r="J107" s="19"/>
      <c r="K107" s="19"/>
    </row>
    <row r="108" spans="2:16" ht="18" customHeight="1" thickBot="1" x14ac:dyDescent="0.45">
      <c r="B108" s="469" t="s">
        <v>311</v>
      </c>
      <c r="C108" s="470"/>
      <c r="D108" s="470"/>
      <c r="E108" s="471"/>
      <c r="F108" s="209" t="s">
        <v>123</v>
      </c>
      <c r="G108" s="19"/>
      <c r="H108" s="19"/>
      <c r="I108" s="19"/>
      <c r="J108" s="19"/>
      <c r="K108" s="19"/>
    </row>
    <row r="109" spans="2:16" ht="15" customHeight="1" thickBot="1" x14ac:dyDescent="0.45">
      <c r="B109" s="329" t="s">
        <v>148</v>
      </c>
      <c r="C109" s="330" t="s">
        <v>154</v>
      </c>
      <c r="D109" s="325" t="s">
        <v>245</v>
      </c>
      <c r="E109" s="325"/>
      <c r="F109" s="401">
        <v>1000</v>
      </c>
      <c r="G109" s="41"/>
      <c r="H109" s="41"/>
      <c r="I109" s="8"/>
      <c r="J109" s="201"/>
      <c r="K109" s="8"/>
    </row>
    <row r="110" spans="2:16" ht="15" customHeight="1" thickBot="1" x14ac:dyDescent="0.45">
      <c r="B110" s="329" t="s">
        <v>148</v>
      </c>
      <c r="C110" s="330" t="s">
        <v>16</v>
      </c>
      <c r="D110" s="325"/>
      <c r="E110" s="325"/>
      <c r="F110" s="401">
        <v>1000</v>
      </c>
      <c r="G110" s="41"/>
      <c r="H110" s="41"/>
      <c r="I110" s="8"/>
      <c r="J110" s="201"/>
      <c r="K110" s="8"/>
    </row>
    <row r="111" spans="2:16" ht="15" customHeight="1" thickBot="1" x14ac:dyDescent="0.45">
      <c r="B111" s="329" t="s">
        <v>148</v>
      </c>
      <c r="C111" s="330">
        <v>15</v>
      </c>
      <c r="D111" s="325"/>
      <c r="E111" s="325"/>
      <c r="F111" s="401">
        <v>1500</v>
      </c>
      <c r="G111" s="41"/>
      <c r="H111" s="41"/>
      <c r="I111" s="8"/>
      <c r="J111" s="201"/>
      <c r="K111" s="8"/>
    </row>
    <row r="112" spans="2:16" ht="15" customHeight="1" thickBot="1" x14ac:dyDescent="0.45">
      <c r="B112" s="329" t="s">
        <v>148</v>
      </c>
      <c r="C112" s="330">
        <v>16</v>
      </c>
      <c r="D112" s="325"/>
      <c r="E112" s="325"/>
      <c r="F112" s="401">
        <v>1500</v>
      </c>
      <c r="G112" s="41"/>
      <c r="H112" s="41"/>
      <c r="I112" s="8"/>
      <c r="J112" s="201"/>
      <c r="K112" s="8"/>
    </row>
    <row r="113" spans="2:11" ht="15" customHeight="1" thickBot="1" x14ac:dyDescent="0.45">
      <c r="B113" s="329" t="s">
        <v>148</v>
      </c>
      <c r="C113" s="330">
        <v>17</v>
      </c>
      <c r="D113" s="325"/>
      <c r="E113" s="325"/>
      <c r="F113" s="401">
        <v>1500</v>
      </c>
      <c r="G113" s="41"/>
      <c r="H113" s="41"/>
      <c r="I113" s="8"/>
      <c r="J113" s="201"/>
      <c r="K113" s="8"/>
    </row>
    <row r="114" spans="2:11" ht="15" customHeight="1" thickBot="1" x14ac:dyDescent="0.45">
      <c r="B114" s="329" t="s">
        <v>148</v>
      </c>
      <c r="C114" s="330">
        <v>18</v>
      </c>
      <c r="D114" s="325"/>
      <c r="E114" s="325"/>
      <c r="F114" s="401">
        <v>1500</v>
      </c>
      <c r="G114" s="41"/>
      <c r="H114" s="41"/>
      <c r="I114" s="8"/>
      <c r="J114" s="201"/>
      <c r="K114" s="8"/>
    </row>
    <row r="115" spans="2:11" ht="15" customHeight="1" thickBot="1" x14ac:dyDescent="0.45">
      <c r="B115" s="329" t="s">
        <v>148</v>
      </c>
      <c r="C115" s="330">
        <v>19</v>
      </c>
      <c r="D115" s="325"/>
      <c r="E115" s="325"/>
      <c r="F115" s="401">
        <v>1500</v>
      </c>
      <c r="G115" s="41"/>
      <c r="H115" s="41"/>
      <c r="I115" s="8"/>
      <c r="J115" s="201"/>
      <c r="K115" s="8"/>
    </row>
    <row r="116" spans="2:11" ht="15" customHeight="1" thickBot="1" x14ac:dyDescent="0.45">
      <c r="B116" s="329" t="s">
        <v>148</v>
      </c>
      <c r="C116" s="330">
        <v>20</v>
      </c>
      <c r="D116" s="325"/>
      <c r="E116" s="325"/>
      <c r="F116" s="401">
        <v>1500</v>
      </c>
      <c r="G116" s="41"/>
      <c r="H116" s="41"/>
      <c r="I116" s="8"/>
      <c r="J116" s="201"/>
      <c r="K116" s="8"/>
    </row>
    <row r="117" spans="2:11" ht="15" customHeight="1" thickBot="1" x14ac:dyDescent="0.45">
      <c r="B117" s="329" t="s">
        <v>148</v>
      </c>
      <c r="C117" s="330">
        <v>21</v>
      </c>
      <c r="D117" s="325"/>
      <c r="E117" s="325"/>
      <c r="F117" s="401">
        <v>1500</v>
      </c>
      <c r="G117" s="41"/>
      <c r="H117" s="41"/>
      <c r="I117" s="8"/>
      <c r="J117" s="201"/>
      <c r="K117" s="8"/>
    </row>
    <row r="118" spans="2:11" ht="15" customHeight="1" thickBot="1" x14ac:dyDescent="0.45">
      <c r="B118" s="329" t="s">
        <v>148</v>
      </c>
      <c r="C118" s="330">
        <v>22</v>
      </c>
      <c r="D118" s="325"/>
      <c r="E118" s="325"/>
      <c r="F118" s="401">
        <v>1500</v>
      </c>
      <c r="G118" s="41"/>
      <c r="H118" s="41"/>
      <c r="I118" s="8"/>
      <c r="J118" s="201"/>
      <c r="K118" s="8"/>
    </row>
    <row r="119" spans="2:11" ht="15" customHeight="1" thickBot="1" x14ac:dyDescent="0.45">
      <c r="B119" s="329" t="s">
        <v>148</v>
      </c>
      <c r="C119" s="330">
        <v>23</v>
      </c>
      <c r="D119" s="325"/>
      <c r="E119" s="325"/>
      <c r="F119" s="401">
        <v>1500</v>
      </c>
      <c r="G119" s="41"/>
      <c r="H119" s="41"/>
      <c r="I119" s="8"/>
      <c r="J119" s="201"/>
      <c r="K119" s="8"/>
    </row>
    <row r="120" spans="2:11" ht="15" customHeight="1" thickBot="1" x14ac:dyDescent="0.45">
      <c r="B120" s="329" t="s">
        <v>148</v>
      </c>
      <c r="C120" s="330">
        <v>25</v>
      </c>
      <c r="D120" s="325"/>
      <c r="E120" s="325"/>
      <c r="F120" s="401">
        <v>1500</v>
      </c>
      <c r="G120" s="41"/>
      <c r="H120" s="41"/>
      <c r="I120" s="8"/>
      <c r="J120" s="201"/>
      <c r="K120" s="8"/>
    </row>
    <row r="121" spans="2:11" ht="15" customHeight="1" thickBot="1" x14ac:dyDescent="0.45">
      <c r="B121" s="388" t="s">
        <v>148</v>
      </c>
      <c r="C121" s="331">
        <v>29</v>
      </c>
      <c r="D121" s="326"/>
      <c r="E121" s="326"/>
      <c r="F121" s="402">
        <v>1000</v>
      </c>
      <c r="G121" s="41"/>
      <c r="H121" s="41"/>
      <c r="I121" s="8"/>
      <c r="J121" s="201"/>
      <c r="K121" s="8"/>
    </row>
    <row r="122" spans="2:11" ht="8.15" customHeight="1" x14ac:dyDescent="0.4">
      <c r="B122" s="210"/>
      <c r="C122" s="211"/>
      <c r="D122" s="212" t="s">
        <v>245</v>
      </c>
      <c r="E122" s="212"/>
      <c r="F122" s="213"/>
      <c r="G122" s="10"/>
      <c r="H122" s="10"/>
      <c r="I122" s="21"/>
      <c r="J122" s="201"/>
      <c r="K122" s="10"/>
    </row>
    <row r="123" spans="2:11" ht="14.15" customHeight="1" thickBot="1" x14ac:dyDescent="0.45">
      <c r="B123" s="466" t="s">
        <v>296</v>
      </c>
      <c r="C123" s="467"/>
      <c r="D123" s="467"/>
      <c r="E123" s="214"/>
      <c r="F123" s="215">
        <f>SUM(F109:F121)</f>
        <v>18000</v>
      </c>
      <c r="G123" s="10"/>
      <c r="H123" s="10"/>
      <c r="I123" s="21"/>
      <c r="J123" s="203"/>
      <c r="K123" s="10"/>
    </row>
    <row r="124" spans="2:11" ht="15.45" x14ac:dyDescent="0.4">
      <c r="B124" s="26"/>
      <c r="C124" s="8"/>
      <c r="D124" s="8"/>
      <c r="E124" s="8"/>
      <c r="F124" s="8"/>
      <c r="G124" s="10"/>
      <c r="H124" s="10"/>
      <c r="I124" s="27"/>
      <c r="J124" s="27"/>
      <c r="K124" s="10"/>
    </row>
    <row r="125" spans="2:11" ht="15.45" x14ac:dyDescent="0.4">
      <c r="B125" s="25"/>
      <c r="C125" s="8"/>
      <c r="D125" s="8"/>
      <c r="E125" s="8"/>
      <c r="F125" s="8"/>
      <c r="G125" s="41"/>
      <c r="H125" s="41"/>
      <c r="I125" s="21"/>
      <c r="J125" s="27"/>
      <c r="K125" s="10"/>
    </row>
    <row r="126" spans="2:11" ht="15.45" x14ac:dyDescent="0.4">
      <c r="B126" s="26"/>
      <c r="C126" s="8"/>
      <c r="D126" s="6"/>
      <c r="E126" s="6"/>
      <c r="F126" s="8"/>
      <c r="G126" s="10"/>
      <c r="H126" s="10"/>
      <c r="I126" s="10"/>
      <c r="J126" s="8"/>
      <c r="K126" s="10"/>
    </row>
    <row r="127" spans="2:11" ht="15.45" x14ac:dyDescent="0.4">
      <c r="F127" s="8"/>
      <c r="I127" s="27"/>
    </row>
  </sheetData>
  <mergeCells count="9">
    <mergeCell ref="B108:E108"/>
    <mergeCell ref="B123:D123"/>
    <mergeCell ref="B5:L5"/>
    <mergeCell ref="F7:J7"/>
    <mergeCell ref="G9:G10"/>
    <mergeCell ref="H9:H10"/>
    <mergeCell ref="I9:I10"/>
    <mergeCell ref="J9:K9"/>
    <mergeCell ref="L9:L10"/>
  </mergeCells>
  <pageMargins left="0.31496062992125984" right="0.31496062992125984" top="0.55118110236220474" bottom="0.55118110236220474" header="0.31496062992125984" footer="0.31496062992125984"/>
  <pageSetup paperSize="9" scale="75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E611CA-40F4-4D64-B3F6-FA9ED99855F5}">
  <dimension ref="B1:S75"/>
  <sheetViews>
    <sheetView topLeftCell="A4" workbookViewId="0">
      <selection activeCell="H20" sqref="H20"/>
    </sheetView>
  </sheetViews>
  <sheetFormatPr defaultRowHeight="14.6" x14ac:dyDescent="0.4"/>
  <cols>
    <col min="1" max="1" width="3.3046875" customWidth="1"/>
    <col min="2" max="2" width="1.3046875" customWidth="1"/>
    <col min="3" max="3" width="16.69140625" customWidth="1"/>
    <col min="4" max="4" width="0.53515625" customWidth="1"/>
    <col min="5" max="5" width="12.3046875" customWidth="1"/>
    <col min="6" max="6" width="1.4609375" customWidth="1"/>
    <col min="7" max="7" width="12" customWidth="1"/>
    <col min="8" max="8" width="19.07421875" customWidth="1"/>
    <col min="9" max="9" width="16.53515625" customWidth="1"/>
    <col min="10" max="10" width="14.07421875" customWidth="1"/>
    <col min="11" max="11" width="16.07421875" customWidth="1"/>
    <col min="12" max="12" width="3" customWidth="1"/>
    <col min="13" max="13" width="18.3046875" customWidth="1"/>
    <col min="14" max="14" width="1" customWidth="1"/>
    <col min="15" max="15" width="12.84375" customWidth="1"/>
    <col min="16" max="16" width="10.07421875" bestFit="1" customWidth="1"/>
    <col min="17" max="17" width="11.4609375" customWidth="1"/>
  </cols>
  <sheetData>
    <row r="1" spans="3:15" ht="6" customHeight="1" x14ac:dyDescent="0.4"/>
    <row r="2" spans="3:15" ht="20.149999999999999" customHeight="1" x14ac:dyDescent="0.4">
      <c r="C2" s="476" t="s">
        <v>0</v>
      </c>
      <c r="D2" s="476"/>
      <c r="E2" s="476"/>
      <c r="F2" s="476"/>
      <c r="G2" s="476"/>
      <c r="H2" s="476"/>
      <c r="I2" s="476"/>
      <c r="J2" s="476"/>
      <c r="K2" s="476"/>
      <c r="L2" s="476"/>
      <c r="M2" s="476"/>
      <c r="N2" s="476"/>
    </row>
    <row r="3" spans="3:15" ht="20.149999999999999" customHeight="1" x14ac:dyDescent="0.45">
      <c r="C3" s="492" t="s">
        <v>333</v>
      </c>
      <c r="D3" s="492"/>
      <c r="E3" s="492"/>
      <c r="F3" s="492"/>
      <c r="G3" s="492"/>
      <c r="H3" s="492"/>
      <c r="I3" s="492"/>
      <c r="J3" s="492"/>
      <c r="K3" s="492"/>
      <c r="L3" s="492"/>
      <c r="M3" s="492"/>
      <c r="N3" s="243"/>
    </row>
    <row r="4" spans="3:15" ht="20.149999999999999" customHeight="1" x14ac:dyDescent="0.45">
      <c r="C4" s="492" t="s">
        <v>245</v>
      </c>
      <c r="D4" s="492"/>
      <c r="E4" s="492"/>
      <c r="F4" s="492"/>
      <c r="G4" s="492"/>
      <c r="H4" s="492"/>
      <c r="I4" s="492"/>
      <c r="J4" s="492"/>
      <c r="K4" s="492"/>
      <c r="L4" s="492"/>
      <c r="M4" s="492"/>
      <c r="N4" s="243"/>
    </row>
    <row r="5" spans="3:15" ht="20.149999999999999" customHeight="1" x14ac:dyDescent="0.45">
      <c r="C5" s="476" t="s">
        <v>318</v>
      </c>
      <c r="D5" s="476"/>
      <c r="E5" s="476"/>
      <c r="F5" s="476"/>
      <c r="G5" s="476"/>
      <c r="H5" s="476"/>
      <c r="I5" s="476"/>
      <c r="J5" s="476"/>
      <c r="K5" s="476"/>
      <c r="L5" s="476"/>
      <c r="M5" s="476"/>
      <c r="N5" s="243"/>
    </row>
    <row r="6" spans="3:15" ht="20.149999999999999" customHeight="1" x14ac:dyDescent="0.45">
      <c r="C6" s="476" t="s">
        <v>753</v>
      </c>
      <c r="D6" s="476"/>
      <c r="E6" s="476"/>
      <c r="F6" s="476"/>
      <c r="G6" s="476"/>
      <c r="H6" s="476"/>
      <c r="I6" s="476"/>
      <c r="J6" s="476"/>
      <c r="K6" s="476"/>
      <c r="L6" s="476"/>
      <c r="M6" s="476"/>
      <c r="N6" s="221"/>
    </row>
    <row r="7" spans="3:15" ht="15" customHeight="1" x14ac:dyDescent="0.4"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</row>
    <row r="8" spans="3:15" ht="15" customHeight="1" x14ac:dyDescent="0.45">
      <c r="C8" s="220" t="s">
        <v>763</v>
      </c>
      <c r="D8" s="221"/>
      <c r="E8" s="221"/>
      <c r="F8" s="221"/>
      <c r="G8" s="221"/>
      <c r="H8" s="221"/>
      <c r="I8" s="221"/>
      <c r="J8" s="221"/>
      <c r="K8" s="221"/>
      <c r="L8" s="247" t="s">
        <v>326</v>
      </c>
      <c r="M8" s="219">
        <v>4531.4200000000055</v>
      </c>
      <c r="N8" s="8"/>
      <c r="O8" s="135" t="s">
        <v>245</v>
      </c>
    </row>
    <row r="9" spans="3:15" ht="15" customHeight="1" x14ac:dyDescent="0.45">
      <c r="C9" s="221"/>
      <c r="D9" s="221"/>
      <c r="E9" s="221"/>
      <c r="F9" s="221"/>
      <c r="G9" s="221"/>
      <c r="H9" s="221"/>
      <c r="I9" s="221"/>
      <c r="J9" s="221"/>
      <c r="K9" s="221"/>
      <c r="L9" s="8"/>
      <c r="M9" s="8"/>
      <c r="N9" s="8"/>
    </row>
    <row r="10" spans="3:15" ht="15" customHeight="1" x14ac:dyDescent="0.45">
      <c r="C10" s="220" t="s">
        <v>764</v>
      </c>
      <c r="D10" s="220"/>
      <c r="E10" s="221"/>
      <c r="F10" s="221"/>
      <c r="G10" s="221"/>
      <c r="H10" s="221"/>
      <c r="I10" s="221"/>
      <c r="J10" s="221"/>
      <c r="K10" s="221"/>
      <c r="L10" s="8"/>
      <c r="M10" s="8"/>
      <c r="N10" s="8"/>
    </row>
    <row r="11" spans="3:15" ht="15" customHeight="1" x14ac:dyDescent="0.45">
      <c r="C11" s="221"/>
      <c r="D11" s="221"/>
      <c r="E11" s="221"/>
      <c r="F11" s="221"/>
      <c r="G11" s="221"/>
      <c r="H11" s="221"/>
      <c r="I11" s="226" t="s">
        <v>245</v>
      </c>
      <c r="J11" s="226"/>
      <c r="K11" s="226" t="s">
        <v>245</v>
      </c>
      <c r="L11" s="19"/>
      <c r="M11" s="8"/>
      <c r="N11" s="8"/>
    </row>
    <row r="12" spans="3:15" ht="15" customHeight="1" x14ac:dyDescent="0.45">
      <c r="C12" s="476" t="s">
        <v>305</v>
      </c>
      <c r="D12" s="476"/>
      <c r="E12" s="476"/>
      <c r="F12" s="221"/>
      <c r="G12" s="221" t="s">
        <v>320</v>
      </c>
      <c r="H12" s="221"/>
      <c r="I12" s="226"/>
      <c r="J12" s="226"/>
      <c r="K12" s="226"/>
      <c r="L12" s="19"/>
      <c r="M12" s="8"/>
      <c r="N12" s="8"/>
    </row>
    <row r="13" spans="3:15" ht="15" customHeight="1" x14ac:dyDescent="0.45">
      <c r="C13" s="238"/>
      <c r="D13" s="238"/>
      <c r="E13" s="238"/>
      <c r="F13" s="221"/>
      <c r="G13" s="221"/>
      <c r="H13" s="221"/>
      <c r="I13" s="226"/>
      <c r="J13" s="226"/>
      <c r="K13" s="226"/>
      <c r="L13" s="19"/>
      <c r="M13" s="8"/>
      <c r="N13" s="8"/>
    </row>
    <row r="14" spans="3:15" ht="15" customHeight="1" x14ac:dyDescent="0.45">
      <c r="C14" s="476" t="s">
        <v>245</v>
      </c>
      <c r="D14" s="476"/>
      <c r="E14" s="476"/>
      <c r="F14" s="221"/>
      <c r="G14" s="221"/>
      <c r="H14" s="239" t="s">
        <v>316</v>
      </c>
      <c r="I14" s="239" t="s">
        <v>2</v>
      </c>
      <c r="J14" s="239" t="s">
        <v>407</v>
      </c>
      <c r="K14" s="239" t="s">
        <v>306</v>
      </c>
      <c r="L14" s="19"/>
      <c r="M14" s="8"/>
      <c r="N14" s="8"/>
    </row>
    <row r="15" spans="3:15" ht="15" customHeight="1" x14ac:dyDescent="0.45">
      <c r="C15" s="221"/>
      <c r="D15" s="221"/>
      <c r="E15" s="226" t="s">
        <v>245</v>
      </c>
      <c r="F15" s="226"/>
      <c r="G15" s="240" t="s">
        <v>245</v>
      </c>
      <c r="H15" s="222" t="s">
        <v>245</v>
      </c>
      <c r="I15" s="241" t="s">
        <v>245</v>
      </c>
      <c r="J15" s="241"/>
      <c r="K15" s="230" t="s">
        <v>245</v>
      </c>
      <c r="L15" s="201"/>
      <c r="M15" s="8"/>
      <c r="N15" s="8"/>
    </row>
    <row r="16" spans="3:15" ht="20.149999999999999" customHeight="1" x14ac:dyDescent="0.45">
      <c r="C16" s="221"/>
      <c r="D16" s="221"/>
      <c r="E16" s="226" t="s">
        <v>159</v>
      </c>
      <c r="F16" s="226"/>
      <c r="G16" s="240" t="s">
        <v>154</v>
      </c>
      <c r="H16" s="222">
        <v>1188</v>
      </c>
      <c r="I16" s="222">
        <v>0</v>
      </c>
      <c r="J16" s="222">
        <v>0</v>
      </c>
      <c r="K16" s="222">
        <f>H16-I16-J16</f>
        <v>1188</v>
      </c>
      <c r="L16" s="216"/>
      <c r="M16" s="8"/>
      <c r="N16" s="8"/>
    </row>
    <row r="17" spans="3:16" ht="20.149999999999999" customHeight="1" x14ac:dyDescent="0.45">
      <c r="C17" s="221"/>
      <c r="D17" s="221"/>
      <c r="E17" s="226" t="s">
        <v>159</v>
      </c>
      <c r="F17" s="226"/>
      <c r="G17" s="240" t="s">
        <v>21</v>
      </c>
      <c r="H17" s="222">
        <v>1748</v>
      </c>
      <c r="I17" s="222">
        <v>350</v>
      </c>
      <c r="J17" s="222">
        <v>0</v>
      </c>
      <c r="K17" s="222">
        <f t="shared" ref="K17:K20" si="0">H17-I17-J17</f>
        <v>1398</v>
      </c>
      <c r="L17" s="216"/>
      <c r="M17" s="8"/>
      <c r="N17" s="8"/>
    </row>
    <row r="18" spans="3:16" ht="20.149999999999999" customHeight="1" x14ac:dyDescent="0.45">
      <c r="C18" s="221"/>
      <c r="D18" s="221"/>
      <c r="E18" s="226" t="s">
        <v>159</v>
      </c>
      <c r="F18" s="226"/>
      <c r="G18" s="240" t="s">
        <v>70</v>
      </c>
      <c r="H18" s="222">
        <v>2334</v>
      </c>
      <c r="I18" s="222"/>
      <c r="J18" s="222">
        <v>0</v>
      </c>
      <c r="K18" s="222">
        <f t="shared" si="0"/>
        <v>2334</v>
      </c>
      <c r="L18" s="216"/>
      <c r="M18" s="8"/>
      <c r="N18" s="8"/>
    </row>
    <row r="19" spans="3:16" ht="20.149999999999999" customHeight="1" x14ac:dyDescent="0.45">
      <c r="C19" s="221"/>
      <c r="D19" s="221"/>
      <c r="E19" s="226" t="s">
        <v>159</v>
      </c>
      <c r="F19" s="226"/>
      <c r="G19" s="240">
        <v>19</v>
      </c>
      <c r="H19" s="222">
        <v>1791</v>
      </c>
      <c r="I19" s="222"/>
      <c r="J19" s="222">
        <v>0</v>
      </c>
      <c r="K19" s="222">
        <f t="shared" si="0"/>
        <v>1791</v>
      </c>
      <c r="L19" s="216"/>
      <c r="M19" s="8"/>
      <c r="N19" s="8"/>
    </row>
    <row r="20" spans="3:16" ht="20.149999999999999" customHeight="1" x14ac:dyDescent="0.75">
      <c r="C20" s="221"/>
      <c r="D20" s="221"/>
      <c r="E20" s="226" t="s">
        <v>159</v>
      </c>
      <c r="F20" s="226"/>
      <c r="G20" s="240">
        <v>26</v>
      </c>
      <c r="H20" s="265">
        <v>1751</v>
      </c>
      <c r="I20" s="266">
        <v>200</v>
      </c>
      <c r="J20" s="266">
        <v>0</v>
      </c>
      <c r="K20" s="266">
        <f t="shared" si="0"/>
        <v>1551</v>
      </c>
      <c r="L20" s="216"/>
      <c r="M20" s="8"/>
      <c r="N20" s="8"/>
      <c r="O20" s="272"/>
    </row>
    <row r="21" spans="3:16" ht="20.149999999999999" hidden="1" customHeight="1" x14ac:dyDescent="0.45">
      <c r="C21" s="221"/>
      <c r="D21" s="221"/>
      <c r="E21" s="336" t="s">
        <v>67</v>
      </c>
      <c r="F21" s="226"/>
      <c r="G21" s="240">
        <v>18</v>
      </c>
      <c r="H21" s="337">
        <v>0</v>
      </c>
      <c r="I21" s="222">
        <v>0</v>
      </c>
      <c r="J21" s="222">
        <v>0</v>
      </c>
      <c r="K21" s="222">
        <f>H21-I21</f>
        <v>0</v>
      </c>
      <c r="L21" s="216"/>
      <c r="M21" s="8"/>
      <c r="N21" s="8"/>
      <c r="O21" s="272"/>
    </row>
    <row r="22" spans="3:16" ht="20.149999999999999" hidden="1" customHeight="1" x14ac:dyDescent="0.45">
      <c r="C22" s="221"/>
      <c r="D22" s="221"/>
      <c r="E22" s="336" t="s">
        <v>67</v>
      </c>
      <c r="F22" s="226"/>
      <c r="G22" s="240">
        <v>19</v>
      </c>
      <c r="H22" s="337">
        <v>0</v>
      </c>
      <c r="I22" s="222">
        <v>0</v>
      </c>
      <c r="J22" s="222">
        <v>0</v>
      </c>
      <c r="K22" s="222">
        <f>H22-I22</f>
        <v>0</v>
      </c>
      <c r="L22" s="216"/>
      <c r="M22" s="8"/>
      <c r="N22" s="8"/>
      <c r="O22" s="272"/>
    </row>
    <row r="23" spans="3:16" ht="20.149999999999999" hidden="1" customHeight="1" x14ac:dyDescent="0.45">
      <c r="C23" s="221"/>
      <c r="D23" s="221"/>
      <c r="E23" s="226" t="s">
        <v>67</v>
      </c>
      <c r="F23" s="226"/>
      <c r="G23" s="240">
        <v>20</v>
      </c>
      <c r="H23" s="223">
        <v>0</v>
      </c>
      <c r="I23" s="222">
        <v>0</v>
      </c>
      <c r="J23" s="222">
        <v>0</v>
      </c>
      <c r="K23" s="222">
        <f>H23-I23</f>
        <v>0</v>
      </c>
      <c r="L23" s="216"/>
      <c r="M23" s="8"/>
      <c r="N23" s="8"/>
    </row>
    <row r="24" spans="3:16" ht="20.149999999999999" hidden="1" customHeight="1" x14ac:dyDescent="0.75">
      <c r="C24" s="221"/>
      <c r="D24" s="221"/>
      <c r="E24" s="226" t="s">
        <v>67</v>
      </c>
      <c r="F24" s="226"/>
      <c r="G24" s="240">
        <v>27</v>
      </c>
      <c r="H24" s="265">
        <v>0</v>
      </c>
      <c r="I24" s="266">
        <v>0</v>
      </c>
      <c r="J24" s="266">
        <v>0</v>
      </c>
      <c r="K24" s="266">
        <f>H24-I24</f>
        <v>0</v>
      </c>
      <c r="L24" s="216"/>
      <c r="M24" s="44" t="s">
        <v>245</v>
      </c>
      <c r="N24" s="8"/>
      <c r="O24" t="s">
        <v>355</v>
      </c>
    </row>
    <row r="25" spans="3:16" ht="15" customHeight="1" x14ac:dyDescent="0.45">
      <c r="C25" s="221"/>
      <c r="D25" s="221"/>
      <c r="E25" s="226"/>
      <c r="F25" s="226"/>
      <c r="G25" s="240"/>
      <c r="H25" s="223"/>
      <c r="I25" s="222"/>
      <c r="J25" s="222"/>
      <c r="K25" s="222"/>
      <c r="L25" s="216"/>
      <c r="M25" s="44"/>
      <c r="N25" s="8"/>
    </row>
    <row r="26" spans="3:16" ht="15" customHeight="1" x14ac:dyDescent="0.45">
      <c r="C26" s="221"/>
      <c r="D26" s="221"/>
      <c r="E26" s="238" t="s">
        <v>65</v>
      </c>
      <c r="F26" s="221"/>
      <c r="G26" s="226"/>
      <c r="H26" s="288">
        <f>SUM(H16:H24)</f>
        <v>8812</v>
      </c>
      <c r="I26" s="296">
        <f>SUM(I16:I24)</f>
        <v>550</v>
      </c>
      <c r="J26" s="288">
        <f>SUM(J16:J24)</f>
        <v>0</v>
      </c>
      <c r="K26" s="248">
        <f>SUM(K16:K24)</f>
        <v>8262</v>
      </c>
      <c r="L26" s="218"/>
      <c r="M26" s="44" t="s">
        <v>245</v>
      </c>
      <c r="N26" s="8"/>
      <c r="O26" s="7">
        <v>8897</v>
      </c>
      <c r="P26" s="135">
        <f>O26-K26</f>
        <v>635</v>
      </c>
    </row>
    <row r="27" spans="3:16" ht="15" customHeight="1" x14ac:dyDescent="0.45">
      <c r="C27" s="221"/>
      <c r="D27" s="221"/>
      <c r="E27" s="221"/>
      <c r="F27" s="221"/>
      <c r="G27" s="226"/>
      <c r="H27" s="224"/>
      <c r="I27" s="222"/>
      <c r="J27" s="222"/>
      <c r="K27" s="222"/>
      <c r="L27" s="216"/>
      <c r="M27" s="44"/>
      <c r="N27" s="8"/>
    </row>
    <row r="28" spans="3:16" ht="15" customHeight="1" x14ac:dyDescent="0.45">
      <c r="C28" s="220" t="s">
        <v>748</v>
      </c>
      <c r="D28" s="220"/>
      <c r="E28" s="220"/>
      <c r="F28" s="220"/>
      <c r="G28" s="220"/>
      <c r="H28" s="220"/>
      <c r="I28" s="220"/>
      <c r="J28" s="297"/>
      <c r="K28" s="219" t="s">
        <v>245</v>
      </c>
      <c r="L28" s="219"/>
      <c r="M28" s="225" t="s">
        <v>245</v>
      </c>
      <c r="N28" s="8"/>
    </row>
    <row r="29" spans="3:16" ht="15" customHeight="1" x14ac:dyDescent="0.45">
      <c r="C29" s="220"/>
      <c r="D29" s="221"/>
      <c r="E29" s="221"/>
      <c r="F29" s="221"/>
      <c r="G29" s="221"/>
      <c r="H29" s="226"/>
      <c r="I29" s="230"/>
      <c r="J29" s="230"/>
      <c r="K29" s="219"/>
      <c r="L29" s="219"/>
      <c r="M29" s="225"/>
      <c r="N29" s="8"/>
    </row>
    <row r="30" spans="3:16" ht="22.95" customHeight="1" x14ac:dyDescent="0.85">
      <c r="C30" s="220"/>
      <c r="D30" s="221"/>
      <c r="E30" s="220" t="s">
        <v>674</v>
      </c>
      <c r="F30" s="220"/>
      <c r="G30" s="220"/>
      <c r="H30" s="220"/>
      <c r="I30" s="230"/>
      <c r="J30" s="230"/>
      <c r="K30" s="274">
        <f>'Jan-2025-Sched A'!I73</f>
        <v>12985</v>
      </c>
      <c r="L30" s="219"/>
      <c r="M30" s="231">
        <f>K30+K26</f>
        <v>21247</v>
      </c>
      <c r="N30" s="8"/>
      <c r="O30" s="304">
        <v>12450</v>
      </c>
      <c r="P30" s="135">
        <f>O30-K30</f>
        <v>-535</v>
      </c>
    </row>
    <row r="31" spans="3:16" ht="15" customHeight="1" x14ac:dyDescent="0.75">
      <c r="C31" s="242"/>
      <c r="D31" s="236"/>
      <c r="E31" s="243"/>
      <c r="F31" s="236"/>
      <c r="G31" s="226"/>
      <c r="H31" s="226"/>
      <c r="I31" s="226"/>
      <c r="J31" s="226"/>
      <c r="K31" s="222"/>
      <c r="L31" s="222"/>
      <c r="M31" s="244"/>
      <c r="N31" s="8"/>
    </row>
    <row r="32" spans="3:16" ht="15" customHeight="1" x14ac:dyDescent="0.45">
      <c r="C32" s="220" t="s">
        <v>442</v>
      </c>
      <c r="D32" s="220"/>
      <c r="E32" s="221"/>
      <c r="F32" s="221"/>
      <c r="G32" s="221"/>
      <c r="H32" s="221"/>
      <c r="I32" s="221"/>
      <c r="J32" s="221"/>
      <c r="K32" s="221"/>
      <c r="L32" s="221"/>
      <c r="M32" s="353"/>
      <c r="N32" s="8"/>
      <c r="P32" s="135"/>
    </row>
    <row r="33" spans="3:16" ht="18" customHeight="1" x14ac:dyDescent="0.45">
      <c r="C33" s="220"/>
      <c r="D33" s="220"/>
      <c r="E33" s="505" t="s">
        <v>767</v>
      </c>
      <c r="F33" s="505"/>
      <c r="G33" s="505"/>
      <c r="H33" s="221"/>
      <c r="I33" s="221"/>
      <c r="J33" s="221"/>
      <c r="K33" s="355">
        <v>20000</v>
      </c>
      <c r="L33" s="221"/>
      <c r="M33" s="353"/>
      <c r="N33" s="8"/>
      <c r="P33" s="135"/>
    </row>
    <row r="34" spans="3:16" ht="18" customHeight="1" x14ac:dyDescent="0.55000000000000004">
      <c r="C34" s="220"/>
      <c r="D34" s="220"/>
      <c r="E34" s="505" t="s">
        <v>768</v>
      </c>
      <c r="F34" s="505"/>
      <c r="G34" s="505"/>
      <c r="H34" s="221"/>
      <c r="I34" s="221"/>
      <c r="J34" s="221"/>
      <c r="K34" s="413">
        <v>20000</v>
      </c>
      <c r="L34" s="221"/>
      <c r="M34" s="300">
        <f>SUM(K33:K34)</f>
        <v>40000</v>
      </c>
      <c r="N34" s="8"/>
    </row>
    <row r="35" spans="3:16" ht="15" customHeight="1" x14ac:dyDescent="0.75">
      <c r="C35" s="242"/>
      <c r="D35" s="236"/>
      <c r="E35" s="243"/>
      <c r="F35" s="236"/>
      <c r="G35" s="226"/>
      <c r="H35" s="226"/>
      <c r="I35" s="226"/>
      <c r="J35" s="226"/>
      <c r="K35" s="222"/>
      <c r="L35" s="222"/>
      <c r="M35" s="244"/>
      <c r="N35" s="8"/>
    </row>
    <row r="36" spans="3:16" ht="20.149999999999999" customHeight="1" x14ac:dyDescent="0.45">
      <c r="C36" s="220" t="s">
        <v>313</v>
      </c>
      <c r="D36" s="220"/>
      <c r="E36" s="221"/>
      <c r="F36" s="221"/>
      <c r="G36" s="221"/>
      <c r="H36" s="221"/>
      <c r="I36" s="221"/>
      <c r="J36" s="221"/>
      <c r="K36" s="221"/>
      <c r="L36" s="247" t="s">
        <v>326</v>
      </c>
      <c r="M36" s="219">
        <f>+M30+M8+M34</f>
        <v>65778.420000000013</v>
      </c>
      <c r="N36" s="8"/>
      <c r="O36" t="s">
        <v>245</v>
      </c>
    </row>
    <row r="37" spans="3:16" ht="13.5" customHeight="1" x14ac:dyDescent="0.45">
      <c r="C37" s="220"/>
      <c r="D37" s="220"/>
      <c r="E37" s="221"/>
      <c r="F37" s="221"/>
      <c r="G37" s="221"/>
      <c r="H37" s="221"/>
      <c r="I37" s="221"/>
      <c r="J37" s="221"/>
      <c r="K37" s="221"/>
      <c r="L37" s="221"/>
      <c r="M37" s="221"/>
      <c r="N37" s="8"/>
    </row>
    <row r="38" spans="3:16" ht="13.5" customHeight="1" x14ac:dyDescent="0.45">
      <c r="C38" s="220"/>
      <c r="D38" s="220"/>
      <c r="E38" s="221"/>
      <c r="F38" s="221"/>
      <c r="G38" s="221"/>
      <c r="H38" s="221"/>
      <c r="I38" s="221"/>
      <c r="J38" s="221"/>
      <c r="K38" s="221"/>
      <c r="L38" s="221"/>
      <c r="M38" s="221"/>
      <c r="N38" s="8"/>
    </row>
    <row r="39" spans="3:16" ht="13.5" customHeight="1" x14ac:dyDescent="0.45">
      <c r="C39" s="220" t="s">
        <v>765</v>
      </c>
      <c r="D39" s="220"/>
      <c r="E39" s="221"/>
      <c r="F39" s="221"/>
      <c r="G39" s="221"/>
      <c r="H39" s="221"/>
      <c r="I39" s="221"/>
      <c r="J39" s="221"/>
      <c r="K39" s="221"/>
      <c r="L39" s="221"/>
      <c r="M39" s="221"/>
      <c r="N39" s="8"/>
    </row>
    <row r="40" spans="3:16" ht="15" customHeight="1" x14ac:dyDescent="0.45">
      <c r="C40" s="221" t="s">
        <v>245</v>
      </c>
      <c r="D40" s="221"/>
      <c r="E40" s="221" t="s">
        <v>245</v>
      </c>
      <c r="F40" s="221"/>
      <c r="G40" s="221"/>
      <c r="H40" s="221"/>
      <c r="I40" s="221"/>
      <c r="J40" s="221"/>
      <c r="K40" s="221"/>
      <c r="L40" s="221"/>
      <c r="M40" s="221"/>
      <c r="N40" s="8"/>
    </row>
    <row r="41" spans="3:16" ht="15" customHeight="1" x14ac:dyDescent="0.45">
      <c r="C41" s="239" t="s">
        <v>5</v>
      </c>
      <c r="D41" s="226"/>
      <c r="E41" s="226" t="s">
        <v>257</v>
      </c>
      <c r="F41" s="226"/>
      <c r="G41" s="487" t="s">
        <v>373</v>
      </c>
      <c r="H41" s="487"/>
      <c r="I41" s="487"/>
      <c r="J41" s="236"/>
      <c r="K41" s="236" t="s">
        <v>123</v>
      </c>
      <c r="L41" s="221"/>
      <c r="M41" s="226" t="s">
        <v>245</v>
      </c>
      <c r="N41" s="19"/>
    </row>
    <row r="42" spans="3:16" ht="15" customHeight="1" x14ac:dyDescent="0.45">
      <c r="C42" s="226"/>
      <c r="D42" s="226"/>
      <c r="E42" s="226"/>
      <c r="F42" s="226"/>
      <c r="G42" s="221"/>
      <c r="H42" s="221"/>
      <c r="I42" s="221"/>
      <c r="J42" s="221"/>
      <c r="K42" s="221"/>
      <c r="L42" s="221"/>
      <c r="M42" s="226"/>
      <c r="N42" s="19"/>
    </row>
    <row r="43" spans="3:16" ht="20.149999999999999" customHeight="1" x14ac:dyDescent="0.45">
      <c r="C43" s="292" t="s">
        <v>770</v>
      </c>
      <c r="D43" s="226"/>
      <c r="E43" s="226"/>
      <c r="F43" s="226"/>
      <c r="G43" s="228" t="s">
        <v>773</v>
      </c>
      <c r="H43" s="221"/>
      <c r="I43" s="221"/>
      <c r="J43" s="221"/>
      <c r="K43" s="222">
        <v>1500</v>
      </c>
      <c r="L43" s="221"/>
      <c r="M43" s="226"/>
      <c r="N43" s="19"/>
    </row>
    <row r="44" spans="3:16" ht="20.149999999999999" customHeight="1" x14ac:dyDescent="0.45">
      <c r="C44" s="292" t="s">
        <v>771</v>
      </c>
      <c r="D44" s="226"/>
      <c r="E44" s="226"/>
      <c r="F44" s="226"/>
      <c r="G44" s="228" t="s">
        <v>819</v>
      </c>
      <c r="H44" s="221"/>
      <c r="I44" s="221"/>
      <c r="J44" s="221"/>
      <c r="K44" s="222">
        <v>813.2</v>
      </c>
      <c r="L44" s="221"/>
      <c r="M44" s="226"/>
      <c r="N44" s="19"/>
    </row>
    <row r="45" spans="3:16" ht="20.149999999999999" customHeight="1" x14ac:dyDescent="0.45">
      <c r="C45" s="292" t="s">
        <v>771</v>
      </c>
      <c r="D45" s="226"/>
      <c r="E45" s="226"/>
      <c r="F45" s="226"/>
      <c r="G45" s="228" t="s">
        <v>808</v>
      </c>
      <c r="H45" s="221"/>
      <c r="I45" s="221"/>
      <c r="J45" s="221"/>
      <c r="K45" s="222">
        <v>150</v>
      </c>
      <c r="L45" s="221"/>
      <c r="M45" s="226"/>
      <c r="N45" s="19"/>
    </row>
    <row r="46" spans="3:16" ht="20.149999999999999" customHeight="1" x14ac:dyDescent="0.85">
      <c r="C46" s="292" t="s">
        <v>772</v>
      </c>
      <c r="D46" s="226"/>
      <c r="E46" s="226"/>
      <c r="F46" s="226"/>
      <c r="G46" s="228" t="s">
        <v>774</v>
      </c>
      <c r="H46" s="221"/>
      <c r="I46" s="221"/>
      <c r="J46" s="221"/>
      <c r="K46" s="266">
        <v>250</v>
      </c>
      <c r="L46" s="221"/>
      <c r="M46" s="410">
        <f>SUM(K43:K46)</f>
        <v>2713.2</v>
      </c>
      <c r="N46" s="19"/>
    </row>
    <row r="47" spans="3:16" ht="20.149999999999999" customHeight="1" x14ac:dyDescent="0.75">
      <c r="C47" s="292" t="s">
        <v>245</v>
      </c>
      <c r="D47" s="226"/>
      <c r="E47" s="226"/>
      <c r="F47" s="226"/>
      <c r="G47" s="228"/>
      <c r="H47" s="221"/>
      <c r="I47" s="221"/>
      <c r="J47" s="221"/>
      <c r="K47" s="222"/>
      <c r="L47" s="222"/>
      <c r="M47" s="266"/>
      <c r="N47" s="19"/>
    </row>
    <row r="48" spans="3:16" ht="20.149999999999999" customHeight="1" x14ac:dyDescent="0.45">
      <c r="C48" s="220" t="s">
        <v>327</v>
      </c>
      <c r="D48" s="220"/>
      <c r="E48" s="221"/>
      <c r="F48" s="221"/>
      <c r="G48" s="221"/>
      <c r="H48" s="221"/>
      <c r="I48" s="221"/>
      <c r="J48" s="221"/>
      <c r="K48" s="221"/>
      <c r="L48" s="221"/>
      <c r="M48" s="231">
        <f>M36-M46</f>
        <v>63065.220000000016</v>
      </c>
      <c r="N48" s="44"/>
    </row>
    <row r="49" spans="2:19" ht="13.5" customHeight="1" x14ac:dyDescent="0.45">
      <c r="C49" s="221"/>
      <c r="D49" s="221"/>
      <c r="E49" s="221"/>
      <c r="F49" s="221"/>
      <c r="G49" s="221"/>
      <c r="H49" s="221"/>
      <c r="I49" s="221"/>
      <c r="J49" s="221"/>
      <c r="K49" s="221"/>
      <c r="L49" s="221"/>
      <c r="M49" s="225"/>
      <c r="N49" s="44"/>
    </row>
    <row r="50" spans="2:19" ht="20.149999999999999" customHeight="1" x14ac:dyDescent="0.45">
      <c r="C50" s="220" t="s">
        <v>786</v>
      </c>
      <c r="D50" s="221"/>
      <c r="E50" s="221"/>
      <c r="F50" s="221"/>
      <c r="G50" s="221"/>
      <c r="H50" s="221"/>
      <c r="I50" s="221"/>
      <c r="J50" s="221"/>
      <c r="K50" s="221"/>
      <c r="L50" s="221"/>
      <c r="M50" s="231" t="s">
        <v>245</v>
      </c>
      <c r="N50" s="44"/>
    </row>
    <row r="51" spans="2:19" ht="20.149999999999999" customHeight="1" x14ac:dyDescent="0.85">
      <c r="C51" s="220"/>
      <c r="D51" s="221"/>
      <c r="E51" s="505" t="s">
        <v>769</v>
      </c>
      <c r="F51" s="505"/>
      <c r="G51" s="505"/>
      <c r="H51" s="221"/>
      <c r="I51" s="221"/>
      <c r="J51" s="221"/>
      <c r="K51" s="411">
        <v>4534</v>
      </c>
      <c r="L51" s="221"/>
      <c r="M51" s="264"/>
      <c r="N51" s="44"/>
    </row>
    <row r="52" spans="2:19" ht="20.149999999999999" customHeight="1" x14ac:dyDescent="0.85">
      <c r="C52" s="220"/>
      <c r="D52" s="221"/>
      <c r="E52" s="505" t="s">
        <v>769</v>
      </c>
      <c r="F52" s="505"/>
      <c r="G52" s="505"/>
      <c r="H52" s="221"/>
      <c r="I52" s="221"/>
      <c r="J52" s="221"/>
      <c r="K52" s="412">
        <v>10950</v>
      </c>
      <c r="L52" s="221"/>
      <c r="M52" s="264">
        <f>SUM(K51:K52)</f>
        <v>15484</v>
      </c>
      <c r="N52" s="44"/>
      <c r="O52">
        <v>12450</v>
      </c>
      <c r="P52" s="135">
        <f>K52-O52</f>
        <v>-1500</v>
      </c>
      <c r="Q52" s="7" t="s">
        <v>245</v>
      </c>
    </row>
    <row r="53" spans="2:19" ht="13.5" customHeight="1" x14ac:dyDescent="0.45">
      <c r="C53" s="221"/>
      <c r="D53" s="221"/>
      <c r="E53" s="221"/>
      <c r="F53" s="221"/>
      <c r="G53" s="221"/>
      <c r="H53" s="221"/>
      <c r="I53" s="221"/>
      <c r="J53" s="221"/>
      <c r="K53" s="221"/>
      <c r="L53" s="221"/>
      <c r="M53" s="225"/>
      <c r="N53" s="44"/>
    </row>
    <row r="54" spans="2:19" ht="24.45" customHeight="1" thickBot="1" x14ac:dyDescent="0.5">
      <c r="C54" s="220" t="s">
        <v>787</v>
      </c>
      <c r="D54" s="221"/>
      <c r="E54" s="221"/>
      <c r="F54" s="221"/>
      <c r="G54" s="221"/>
      <c r="H54" s="221"/>
      <c r="I54" s="221"/>
      <c r="J54" s="221"/>
      <c r="K54" s="221"/>
      <c r="L54" s="245" t="s">
        <v>326</v>
      </c>
      <c r="M54" s="232">
        <f>M48-M52</f>
        <v>47581.220000000016</v>
      </c>
      <c r="N54" s="8"/>
      <c r="O54" s="135">
        <v>52681.17</v>
      </c>
      <c r="P54" s="135">
        <f>M54-O54</f>
        <v>-5099.9499999999825</v>
      </c>
      <c r="Q54" s="135"/>
      <c r="R54" s="135"/>
      <c r="S54" s="135"/>
    </row>
    <row r="55" spans="2:19" ht="13.5" customHeight="1" thickTop="1" x14ac:dyDescent="0.45">
      <c r="C55" s="221"/>
      <c r="D55" s="221"/>
      <c r="E55" s="220"/>
      <c r="F55" s="220"/>
      <c r="G55" s="221"/>
      <c r="H55" s="221"/>
      <c r="I55" s="221"/>
      <c r="J55" s="221"/>
      <c r="K55" s="221"/>
      <c r="L55" s="221"/>
      <c r="M55" s="221"/>
      <c r="N55" s="8"/>
      <c r="O55" s="135"/>
      <c r="P55" s="474"/>
      <c r="Q55" s="474"/>
    </row>
    <row r="56" spans="2:19" ht="13.5" customHeight="1" thickBot="1" x14ac:dyDescent="0.45">
      <c r="C56" s="8"/>
      <c r="D56" s="8"/>
      <c r="E56" s="13"/>
      <c r="F56" s="13"/>
      <c r="G56" s="8"/>
      <c r="H56" s="8"/>
      <c r="I56" s="8"/>
      <c r="J56" s="8"/>
      <c r="K56" s="8"/>
      <c r="L56" s="8"/>
      <c r="M56" s="8"/>
      <c r="N56" s="8"/>
    </row>
    <row r="57" spans="2:19" ht="13.5" customHeight="1" x14ac:dyDescent="0.45">
      <c r="B57" s="251"/>
      <c r="C57" s="493" t="s">
        <v>742</v>
      </c>
      <c r="D57" s="493"/>
      <c r="E57" s="493"/>
      <c r="F57" s="493"/>
      <c r="G57" s="493"/>
      <c r="H57" s="493"/>
      <c r="I57" s="252"/>
      <c r="J57" s="252"/>
      <c r="K57" s="252"/>
      <c r="L57" s="483" t="s">
        <v>326</v>
      </c>
      <c r="M57" s="479">
        <v>47440.72</v>
      </c>
      <c r="N57" s="253"/>
    </row>
    <row r="58" spans="2:19" ht="11.15" customHeight="1" x14ac:dyDescent="0.4">
      <c r="B58" s="254"/>
      <c r="C58" s="494"/>
      <c r="D58" s="494"/>
      <c r="E58" s="494"/>
      <c r="F58" s="494"/>
      <c r="G58" s="494"/>
      <c r="H58" s="494"/>
      <c r="I58" s="220"/>
      <c r="J58" s="220"/>
      <c r="K58" s="220"/>
      <c r="L58" s="484"/>
      <c r="M58" s="503"/>
      <c r="N58" s="255"/>
    </row>
    <row r="59" spans="2:19" ht="16.2" customHeight="1" x14ac:dyDescent="0.4">
      <c r="B59" s="256"/>
      <c r="C59" s="496" t="s">
        <v>775</v>
      </c>
      <c r="D59" s="496"/>
      <c r="E59" s="496"/>
      <c r="F59" s="496"/>
      <c r="G59" s="496"/>
      <c r="H59" s="496"/>
      <c r="I59" s="233"/>
      <c r="J59" s="233"/>
      <c r="K59" s="307" t="s">
        <v>245</v>
      </c>
      <c r="L59" s="233"/>
      <c r="M59" s="261">
        <f>4534+10950</f>
        <v>15484</v>
      </c>
      <c r="N59" s="174"/>
    </row>
    <row r="60" spans="2:19" ht="16.2" customHeight="1" x14ac:dyDescent="0.45">
      <c r="B60" s="254"/>
      <c r="C60" s="497" t="s">
        <v>322</v>
      </c>
      <c r="D60" s="497"/>
      <c r="E60" s="497"/>
      <c r="F60" s="497"/>
      <c r="G60" s="497"/>
      <c r="H60" s="497"/>
      <c r="I60" s="302"/>
      <c r="J60" s="302"/>
      <c r="K60" s="303"/>
      <c r="L60" s="303"/>
      <c r="M60" s="261">
        <f>6.02-1.2</f>
        <v>4.8199999999999994</v>
      </c>
      <c r="N60" s="255"/>
    </row>
    <row r="61" spans="2:19" ht="16.2" customHeight="1" thickBot="1" x14ac:dyDescent="0.5">
      <c r="B61" s="254"/>
      <c r="C61" s="496" t="s">
        <v>776</v>
      </c>
      <c r="D61" s="496"/>
      <c r="E61" s="496"/>
      <c r="F61" s="496"/>
      <c r="G61" s="496"/>
      <c r="H61" s="496"/>
      <c r="I61" s="221"/>
      <c r="J61" s="221"/>
      <c r="K61" s="230"/>
      <c r="L61" s="230"/>
      <c r="M61" s="262">
        <v>40000</v>
      </c>
      <c r="N61" s="255"/>
    </row>
    <row r="62" spans="2:19" ht="13.5" customHeight="1" x14ac:dyDescent="0.4">
      <c r="B62" s="251"/>
      <c r="C62" s="498" t="s">
        <v>788</v>
      </c>
      <c r="D62" s="498"/>
      <c r="E62" s="498"/>
      <c r="F62" s="498"/>
      <c r="G62" s="498"/>
      <c r="H62" s="498"/>
      <c r="I62" s="260"/>
      <c r="J62" s="260"/>
      <c r="K62" s="260"/>
      <c r="L62" s="485" t="s">
        <v>326</v>
      </c>
      <c r="M62" s="477">
        <f>SUM(M57:M60)-M61</f>
        <v>22929.54</v>
      </c>
      <c r="N62" s="253"/>
    </row>
    <row r="63" spans="2:19" ht="13.5" customHeight="1" thickBot="1" x14ac:dyDescent="0.45">
      <c r="B63" s="257"/>
      <c r="C63" s="499"/>
      <c r="D63" s="499"/>
      <c r="E63" s="499"/>
      <c r="F63" s="499"/>
      <c r="G63" s="499"/>
      <c r="H63" s="499"/>
      <c r="I63" s="258"/>
      <c r="J63" s="258"/>
      <c r="K63" s="258"/>
      <c r="L63" s="486"/>
      <c r="M63" s="478"/>
      <c r="N63" s="259"/>
      <c r="O63" s="135">
        <v>22929.54</v>
      </c>
      <c r="P63" s="135">
        <f>M62-O63</f>
        <v>0</v>
      </c>
    </row>
    <row r="64" spans="2:19" ht="13.5" customHeight="1" x14ac:dyDescent="0.4">
      <c r="C64" s="8"/>
      <c r="D64" s="8"/>
      <c r="E64" s="13"/>
      <c r="F64" s="13"/>
      <c r="G64" s="13"/>
      <c r="H64" s="13"/>
      <c r="I64" s="13"/>
      <c r="J64" s="13"/>
      <c r="K64" s="13"/>
      <c r="L64" s="13"/>
      <c r="M64" s="15" t="s">
        <v>245</v>
      </c>
      <c r="N64" s="8"/>
    </row>
    <row r="65" spans="3:14" ht="13.5" customHeight="1" x14ac:dyDescent="0.4">
      <c r="C65" s="8"/>
      <c r="D65" s="8"/>
      <c r="E65" s="13"/>
      <c r="F65" s="13"/>
      <c r="G65" s="13"/>
      <c r="H65" s="13"/>
      <c r="I65" s="13"/>
      <c r="J65" s="13"/>
      <c r="K65" s="13"/>
      <c r="L65" s="13"/>
      <c r="M65" s="15"/>
      <c r="N65" s="8"/>
    </row>
    <row r="66" spans="3:14" ht="13.5" customHeight="1" x14ac:dyDescent="0.4">
      <c r="C66" s="237" t="s">
        <v>13</v>
      </c>
      <c r="D66" s="235"/>
      <c r="E66" s="235"/>
      <c r="F66" s="235"/>
      <c r="G66" s="237" t="s">
        <v>82</v>
      </c>
      <c r="H66" s="235"/>
      <c r="I66" s="237" t="s">
        <v>289</v>
      </c>
      <c r="J66" s="237"/>
      <c r="K66" s="235"/>
      <c r="L66" s="235"/>
      <c r="M66" s="235" t="s">
        <v>261</v>
      </c>
      <c r="N66" s="8"/>
    </row>
    <row r="67" spans="3:14" ht="13.5" customHeight="1" x14ac:dyDescent="0.4"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</row>
    <row r="68" spans="3:14" ht="20.149999999999999" customHeight="1" x14ac:dyDescent="0.4">
      <c r="C68" s="234" t="s">
        <v>290</v>
      </c>
      <c r="D68" s="235"/>
      <c r="E68" s="235"/>
      <c r="F68" s="235"/>
      <c r="G68" s="234" t="s">
        <v>14</v>
      </c>
      <c r="H68" s="235"/>
      <c r="I68" s="234" t="s">
        <v>17</v>
      </c>
      <c r="J68" s="234"/>
      <c r="K68" s="235"/>
      <c r="L68" s="235"/>
      <c r="M68" s="234" t="s">
        <v>8</v>
      </c>
      <c r="N68" s="8"/>
    </row>
    <row r="69" spans="3:14" ht="13.5" customHeight="1" x14ac:dyDescent="0.4">
      <c r="C69" s="19" t="s">
        <v>317</v>
      </c>
      <c r="D69" s="8"/>
      <c r="E69" s="8"/>
      <c r="F69" s="8"/>
      <c r="G69" s="19" t="s">
        <v>15</v>
      </c>
      <c r="H69" s="8"/>
      <c r="I69" s="19" t="s">
        <v>292</v>
      </c>
      <c r="J69" s="19"/>
      <c r="K69" s="8"/>
      <c r="L69" s="8"/>
      <c r="M69" s="19" t="s">
        <v>262</v>
      </c>
      <c r="N69" s="8"/>
    </row>
    <row r="70" spans="3:14" ht="13.5" customHeight="1" x14ac:dyDescent="0.4"/>
    <row r="71" spans="3:14" ht="13.5" customHeight="1" x14ac:dyDescent="0.4"/>
    <row r="72" spans="3:14" ht="13.5" customHeight="1" x14ac:dyDescent="0.4"/>
    <row r="73" spans="3:14" ht="13.5" customHeight="1" x14ac:dyDescent="0.4"/>
    <row r="74" spans="3:14" ht="13.5" customHeight="1" x14ac:dyDescent="0.4"/>
    <row r="75" spans="3:14" ht="13.5" customHeight="1" x14ac:dyDescent="0.4"/>
  </sheetData>
  <mergeCells count="22">
    <mergeCell ref="C12:E12"/>
    <mergeCell ref="C2:N2"/>
    <mergeCell ref="C3:M3"/>
    <mergeCell ref="C4:M4"/>
    <mergeCell ref="C5:M5"/>
    <mergeCell ref="C6:M6"/>
    <mergeCell ref="L62:L63"/>
    <mergeCell ref="M62:M63"/>
    <mergeCell ref="C14:E14"/>
    <mergeCell ref="G41:I41"/>
    <mergeCell ref="P55:Q55"/>
    <mergeCell ref="C57:H58"/>
    <mergeCell ref="L57:L58"/>
    <mergeCell ref="M57:M58"/>
    <mergeCell ref="E33:G33"/>
    <mergeCell ref="E34:G34"/>
    <mergeCell ref="E51:G51"/>
    <mergeCell ref="E52:G52"/>
    <mergeCell ref="C59:H59"/>
    <mergeCell ref="C60:H60"/>
    <mergeCell ref="C61:H61"/>
    <mergeCell ref="C62:H63"/>
  </mergeCells>
  <pageMargins left="0" right="0" top="0.75" bottom="0.75" header="0.3" footer="0.3"/>
  <pageSetup paperSize="9" scale="70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5E28D2-FEA2-4A64-9685-6142218751B2}">
  <dimension ref="B2:P89"/>
  <sheetViews>
    <sheetView topLeftCell="A19" workbookViewId="0">
      <selection activeCell="O73" sqref="O73"/>
    </sheetView>
  </sheetViews>
  <sheetFormatPr defaultRowHeight="14.6" x14ac:dyDescent="0.4"/>
  <cols>
    <col min="1" max="1" width="2.3046875" customWidth="1"/>
    <col min="2" max="2" width="13.3046875" customWidth="1"/>
    <col min="3" max="3" width="4.84375" customWidth="1"/>
    <col min="4" max="4" width="12.3046875" customWidth="1"/>
    <col min="5" max="5" width="1.53515625" customWidth="1"/>
    <col min="6" max="6" width="19.84375" customWidth="1"/>
    <col min="7" max="7" width="22.3046875" customWidth="1"/>
    <col min="8" max="8" width="23.3046875" hidden="1" customWidth="1"/>
    <col min="9" max="9" width="13.69140625" customWidth="1"/>
    <col min="10" max="10" width="12.07421875" customWidth="1"/>
    <col min="11" max="12" width="12.3046875" customWidth="1"/>
    <col min="13" max="13" width="11.53515625" customWidth="1"/>
    <col min="15" max="15" width="13.07421875" bestFit="1" customWidth="1"/>
    <col min="16" max="16" width="12" customWidth="1"/>
  </cols>
  <sheetData>
    <row r="2" spans="2:12" x14ac:dyDescent="0.4">
      <c r="B2" s="246" t="s">
        <v>329</v>
      </c>
    </row>
    <row r="3" spans="2:12" x14ac:dyDescent="0.4">
      <c r="B3" s="246"/>
    </row>
    <row r="4" spans="2:12" x14ac:dyDescent="0.4">
      <c r="B4" s="246"/>
    </row>
    <row r="5" spans="2:12" ht="14.15" customHeight="1" x14ac:dyDescent="0.4">
      <c r="B5" s="468" t="s">
        <v>0</v>
      </c>
      <c r="C5" s="468"/>
      <c r="D5" s="468"/>
      <c r="E5" s="468"/>
      <c r="F5" s="468"/>
      <c r="G5" s="468"/>
      <c r="H5" s="468"/>
      <c r="I5" s="468"/>
      <c r="J5" s="468"/>
      <c r="K5" s="468"/>
      <c r="L5" s="468"/>
    </row>
    <row r="6" spans="2:12" ht="14.15" customHeight="1" x14ac:dyDescent="0.4">
      <c r="B6" s="19"/>
      <c r="C6" s="19"/>
      <c r="D6" s="19"/>
      <c r="E6" s="19"/>
      <c r="F6" s="19"/>
      <c r="G6" s="19" t="s">
        <v>18</v>
      </c>
      <c r="H6" s="19"/>
      <c r="I6" s="19"/>
      <c r="J6" s="19"/>
      <c r="K6" s="19"/>
      <c r="L6" s="1"/>
    </row>
    <row r="7" spans="2:12" ht="14.15" customHeight="1" x14ac:dyDescent="0.4">
      <c r="B7" s="8"/>
      <c r="C7" s="8"/>
      <c r="D7" s="8"/>
      <c r="E7" s="8"/>
      <c r="F7" s="473" t="s">
        <v>752</v>
      </c>
      <c r="G7" s="473"/>
      <c r="H7" s="473"/>
      <c r="I7" s="473"/>
      <c r="J7" s="473"/>
      <c r="K7" s="8"/>
    </row>
    <row r="8" spans="2:12" ht="14.15" customHeight="1" thickBot="1" x14ac:dyDescent="0.45">
      <c r="B8" s="8"/>
      <c r="C8" s="8"/>
      <c r="D8" s="8"/>
      <c r="E8" s="8"/>
      <c r="F8" s="8"/>
      <c r="G8" s="8"/>
      <c r="H8" s="8"/>
      <c r="I8" s="8"/>
      <c r="J8" s="8"/>
      <c r="K8" s="8"/>
    </row>
    <row r="9" spans="2:12" ht="21.75" customHeight="1" x14ac:dyDescent="0.4">
      <c r="B9" s="308"/>
      <c r="C9" s="309"/>
      <c r="D9" s="310"/>
      <c r="E9" s="309"/>
      <c r="F9" s="311"/>
      <c r="G9" s="500" t="s">
        <v>304</v>
      </c>
      <c r="H9" s="500" t="s">
        <v>299</v>
      </c>
      <c r="I9" s="500" t="s">
        <v>293</v>
      </c>
      <c r="J9" s="502" t="s">
        <v>301</v>
      </c>
      <c r="K9" s="502"/>
      <c r="L9" s="500" t="s">
        <v>296</v>
      </c>
    </row>
    <row r="10" spans="2:12" ht="30" customHeight="1" thickBot="1" x14ac:dyDescent="0.45">
      <c r="B10" s="312" t="s">
        <v>5</v>
      </c>
      <c r="C10" s="313"/>
      <c r="D10" s="314" t="s">
        <v>309</v>
      </c>
      <c r="E10" s="313"/>
      <c r="F10" s="315" t="s">
        <v>1</v>
      </c>
      <c r="G10" s="501"/>
      <c r="H10" s="501"/>
      <c r="I10" s="501"/>
      <c r="J10" s="316" t="s">
        <v>302</v>
      </c>
      <c r="K10" s="317" t="s">
        <v>303</v>
      </c>
      <c r="L10" s="501"/>
    </row>
    <row r="11" spans="2:12" ht="16.2" customHeight="1" x14ac:dyDescent="0.4">
      <c r="B11" s="137" t="s">
        <v>159</v>
      </c>
      <c r="C11" s="19"/>
      <c r="D11" s="155"/>
      <c r="E11" s="19"/>
      <c r="F11" s="170"/>
      <c r="G11" s="110"/>
      <c r="H11" s="110"/>
      <c r="I11" s="157"/>
      <c r="J11" s="178"/>
      <c r="K11" s="183"/>
      <c r="L11" s="186"/>
    </row>
    <row r="12" spans="2:12" ht="16.2" customHeight="1" x14ac:dyDescent="0.4">
      <c r="B12" s="138" t="s">
        <v>154</v>
      </c>
      <c r="C12" s="139" t="s">
        <v>245</v>
      </c>
      <c r="D12" s="140">
        <v>2882</v>
      </c>
      <c r="E12" s="141"/>
      <c r="F12" s="171" t="s">
        <v>33</v>
      </c>
      <c r="G12" s="158">
        <v>100</v>
      </c>
      <c r="H12" s="158"/>
      <c r="I12" s="140"/>
      <c r="J12" s="114"/>
      <c r="K12" s="184" t="s">
        <v>245</v>
      </c>
      <c r="L12" s="163"/>
    </row>
    <row r="13" spans="2:12" ht="16.2" customHeight="1" x14ac:dyDescent="0.4">
      <c r="B13" s="138" t="s">
        <v>154</v>
      </c>
      <c r="C13" s="139"/>
      <c r="D13" s="140">
        <f t="shared" ref="D13:D16" si="0">1+D12</f>
        <v>2883</v>
      </c>
      <c r="E13" s="141"/>
      <c r="F13" s="171" t="s">
        <v>20</v>
      </c>
      <c r="G13" s="158">
        <v>100</v>
      </c>
      <c r="H13" s="158"/>
      <c r="I13" s="140"/>
      <c r="J13" s="114"/>
      <c r="K13" s="184"/>
      <c r="L13" s="163"/>
    </row>
    <row r="14" spans="2:12" ht="16.2" customHeight="1" x14ac:dyDescent="0.4">
      <c r="B14" s="138" t="s">
        <v>154</v>
      </c>
      <c r="C14" s="139"/>
      <c r="D14" s="140">
        <f t="shared" si="0"/>
        <v>2884</v>
      </c>
      <c r="E14" s="141"/>
      <c r="F14" s="171" t="s">
        <v>754</v>
      </c>
      <c r="G14" s="158">
        <v>100</v>
      </c>
      <c r="H14" s="158"/>
      <c r="I14" s="140"/>
      <c r="J14" s="114"/>
      <c r="K14" s="184"/>
      <c r="L14" s="163"/>
    </row>
    <row r="15" spans="2:12" ht="16.2" customHeight="1" x14ac:dyDescent="0.4">
      <c r="B15" s="138" t="s">
        <v>154</v>
      </c>
      <c r="C15" s="139"/>
      <c r="D15" s="140">
        <f t="shared" si="0"/>
        <v>2885</v>
      </c>
      <c r="E15" s="141"/>
      <c r="F15" s="171" t="s">
        <v>749</v>
      </c>
      <c r="G15" s="158">
        <v>100</v>
      </c>
      <c r="H15" s="158"/>
      <c r="I15" s="140"/>
      <c r="J15" s="114"/>
      <c r="K15" s="184"/>
      <c r="L15" s="163"/>
    </row>
    <row r="16" spans="2:12" ht="16.2" customHeight="1" x14ac:dyDescent="0.4">
      <c r="B16" s="138" t="s">
        <v>154</v>
      </c>
      <c r="C16" s="139"/>
      <c r="D16" s="140">
        <f t="shared" si="0"/>
        <v>2886</v>
      </c>
      <c r="E16" s="141"/>
      <c r="F16" s="171" t="s">
        <v>755</v>
      </c>
      <c r="G16" s="158">
        <v>150</v>
      </c>
      <c r="H16" s="158"/>
      <c r="I16" s="140"/>
      <c r="J16" s="114"/>
      <c r="K16" s="184"/>
      <c r="L16" s="163"/>
    </row>
    <row r="17" spans="2:15" ht="16.2" customHeight="1" x14ac:dyDescent="0.4">
      <c r="B17" s="138" t="s">
        <v>245</v>
      </c>
      <c r="C17" s="139"/>
      <c r="D17" s="140" t="s">
        <v>245</v>
      </c>
      <c r="E17" s="141"/>
      <c r="F17" s="171" t="s">
        <v>386</v>
      </c>
      <c r="G17" s="275">
        <f>950+635</f>
        <v>1585</v>
      </c>
      <c r="H17" s="158"/>
      <c r="I17" s="140"/>
      <c r="J17" s="114"/>
      <c r="K17" s="184"/>
      <c r="L17" s="163"/>
      <c r="O17">
        <v>0</v>
      </c>
    </row>
    <row r="18" spans="2:15" ht="16.2" hidden="1" customHeight="1" x14ac:dyDescent="0.4">
      <c r="B18" s="138" t="s">
        <v>154</v>
      </c>
      <c r="C18" s="139"/>
      <c r="D18" s="140" t="s">
        <v>245</v>
      </c>
      <c r="E18" s="141"/>
      <c r="F18" s="414" t="s">
        <v>777</v>
      </c>
      <c r="G18" s="404">
        <v>0</v>
      </c>
      <c r="H18" s="158"/>
      <c r="I18" s="140"/>
      <c r="J18" s="114"/>
      <c r="K18" s="184"/>
      <c r="L18" s="163"/>
      <c r="M18" s="135" t="s">
        <v>245</v>
      </c>
    </row>
    <row r="19" spans="2:15" ht="18" customHeight="1" x14ac:dyDescent="0.4">
      <c r="B19" s="154" t="s">
        <v>307</v>
      </c>
      <c r="D19" s="111"/>
      <c r="F19" s="109"/>
      <c r="G19" s="161">
        <f>SUM(G12:G18)</f>
        <v>2135</v>
      </c>
      <c r="H19" s="161"/>
      <c r="I19" s="162">
        <f>G19-J19</f>
        <v>635</v>
      </c>
      <c r="J19" s="142">
        <v>1500</v>
      </c>
      <c r="K19" s="185">
        <v>0</v>
      </c>
      <c r="L19" s="198">
        <f>J19+K19</f>
        <v>1500</v>
      </c>
      <c r="M19" s="135" t="s">
        <v>245</v>
      </c>
    </row>
    <row r="20" spans="2:15" ht="16.2" customHeight="1" x14ac:dyDescent="0.4">
      <c r="B20" s="138" t="s">
        <v>21</v>
      </c>
      <c r="C20" s="141"/>
      <c r="D20" s="140">
        <v>2887</v>
      </c>
      <c r="E20" s="141"/>
      <c r="F20" s="171" t="s">
        <v>677</v>
      </c>
      <c r="G20" s="158">
        <v>100</v>
      </c>
      <c r="H20" s="159"/>
      <c r="I20" s="140"/>
      <c r="J20" s="114"/>
      <c r="K20" s="185"/>
      <c r="L20" s="167" t="s">
        <v>245</v>
      </c>
    </row>
    <row r="21" spans="2:15" ht="16.2" customHeight="1" x14ac:dyDescent="0.4">
      <c r="B21" s="138" t="s">
        <v>21</v>
      </c>
      <c r="C21" s="141"/>
      <c r="D21" s="140">
        <f>1+D20</f>
        <v>2888</v>
      </c>
      <c r="E21" s="141"/>
      <c r="F21" s="172" t="s">
        <v>171</v>
      </c>
      <c r="G21" s="275">
        <v>5000</v>
      </c>
      <c r="H21" s="159"/>
      <c r="I21" s="140"/>
      <c r="J21" s="114"/>
      <c r="K21" s="185"/>
      <c r="L21" s="167"/>
      <c r="M21" s="272" t="s">
        <v>756</v>
      </c>
      <c r="O21">
        <v>5000</v>
      </c>
    </row>
    <row r="22" spans="2:15" ht="16.2" customHeight="1" x14ac:dyDescent="0.4">
      <c r="B22" s="138" t="s">
        <v>21</v>
      </c>
      <c r="C22" s="141"/>
      <c r="D22" s="140">
        <f>1+D21</f>
        <v>2889</v>
      </c>
      <c r="E22" s="141"/>
      <c r="F22" s="172" t="s">
        <v>757</v>
      </c>
      <c r="G22" s="158">
        <v>100</v>
      </c>
      <c r="H22" s="159"/>
      <c r="I22" s="140"/>
      <c r="J22" s="114"/>
      <c r="K22" s="185"/>
      <c r="L22" s="167"/>
    </row>
    <row r="23" spans="2:15" ht="16.2" customHeight="1" x14ac:dyDescent="0.4">
      <c r="B23" s="138" t="s">
        <v>21</v>
      </c>
      <c r="C23" s="141"/>
      <c r="D23" s="140">
        <f>1+D22</f>
        <v>2890</v>
      </c>
      <c r="E23" s="141"/>
      <c r="F23" s="172" t="s">
        <v>41</v>
      </c>
      <c r="G23" s="158">
        <v>100</v>
      </c>
      <c r="H23" s="159"/>
      <c r="I23" s="140"/>
      <c r="J23" s="114"/>
      <c r="K23" s="185"/>
      <c r="L23" s="167"/>
    </row>
    <row r="24" spans="2:15" ht="16.2" customHeight="1" x14ac:dyDescent="0.4">
      <c r="B24" s="138" t="s">
        <v>21</v>
      </c>
      <c r="C24" s="141"/>
      <c r="D24" s="140">
        <f t="shared" ref="D24:D27" si="1">1+D23</f>
        <v>2891</v>
      </c>
      <c r="E24" s="141"/>
      <c r="F24" s="172" t="s">
        <v>755</v>
      </c>
      <c r="G24" s="158">
        <v>150</v>
      </c>
      <c r="H24" s="159"/>
      <c r="I24" s="140"/>
      <c r="J24" s="114"/>
      <c r="K24" s="185"/>
      <c r="L24" s="167"/>
    </row>
    <row r="25" spans="2:15" ht="16.2" customHeight="1" x14ac:dyDescent="0.4">
      <c r="B25" s="138" t="s">
        <v>21</v>
      </c>
      <c r="C25" s="141"/>
      <c r="D25" s="140">
        <f t="shared" si="1"/>
        <v>2892</v>
      </c>
      <c r="E25" s="141"/>
      <c r="F25" s="172" t="s">
        <v>380</v>
      </c>
      <c r="G25" s="158">
        <v>100</v>
      </c>
      <c r="H25" s="159"/>
      <c r="I25" s="140"/>
      <c r="J25" s="114"/>
      <c r="K25" s="185"/>
      <c r="L25" s="167"/>
    </row>
    <row r="26" spans="2:15" ht="16.2" customHeight="1" x14ac:dyDescent="0.4">
      <c r="B26" s="138" t="s">
        <v>21</v>
      </c>
      <c r="C26" s="141"/>
      <c r="D26" s="140">
        <f t="shared" si="1"/>
        <v>2893</v>
      </c>
      <c r="E26" s="141"/>
      <c r="F26" s="172" t="s">
        <v>612</v>
      </c>
      <c r="G26" s="158">
        <v>100</v>
      </c>
      <c r="H26" s="159"/>
      <c r="I26" s="140"/>
      <c r="J26" s="114"/>
      <c r="K26" s="185"/>
      <c r="L26" s="167"/>
    </row>
    <row r="27" spans="2:15" ht="16.2" customHeight="1" x14ac:dyDescent="0.4">
      <c r="B27" s="138" t="s">
        <v>21</v>
      </c>
      <c r="C27" s="141"/>
      <c r="D27" s="140">
        <f t="shared" si="1"/>
        <v>2894</v>
      </c>
      <c r="E27" s="141"/>
      <c r="F27" s="172" t="s">
        <v>758</v>
      </c>
      <c r="G27" s="158">
        <v>100</v>
      </c>
      <c r="H27" s="159"/>
      <c r="I27" s="140"/>
      <c r="J27" s="114"/>
      <c r="K27" s="185"/>
      <c r="L27" s="167"/>
    </row>
    <row r="28" spans="2:15" ht="16.2" customHeight="1" x14ac:dyDescent="0.4">
      <c r="B28" s="154" t="s">
        <v>307</v>
      </c>
      <c r="C28" s="141"/>
      <c r="D28" s="140"/>
      <c r="E28" s="141"/>
      <c r="F28" s="172"/>
      <c r="G28" s="289">
        <f>SUM(G20:G27)</f>
        <v>5750</v>
      </c>
      <c r="H28" s="159"/>
      <c r="I28" s="162">
        <f>G28-J28</f>
        <v>5100</v>
      </c>
      <c r="J28" s="114">
        <v>650</v>
      </c>
      <c r="K28" s="185">
        <v>350</v>
      </c>
      <c r="L28" s="198">
        <f>J28+K28</f>
        <v>1000</v>
      </c>
    </row>
    <row r="29" spans="2:15" ht="16.2" customHeight="1" x14ac:dyDescent="0.4">
      <c r="B29" s="138">
        <v>12</v>
      </c>
      <c r="C29" s="141"/>
      <c r="D29" s="140">
        <v>2895</v>
      </c>
      <c r="E29" s="141"/>
      <c r="F29" s="172" t="s">
        <v>759</v>
      </c>
      <c r="G29" s="275">
        <v>500</v>
      </c>
      <c r="H29" s="159"/>
      <c r="I29" s="140"/>
      <c r="J29" s="114"/>
      <c r="K29" s="185"/>
      <c r="L29" s="198">
        <f t="shared" ref="L29:L52" si="2">J29+K29</f>
        <v>0</v>
      </c>
      <c r="M29" s="272" t="s">
        <v>756</v>
      </c>
      <c r="O29">
        <v>500</v>
      </c>
    </row>
    <row r="30" spans="2:15" ht="16.2" customHeight="1" x14ac:dyDescent="0.4">
      <c r="B30" s="138">
        <v>12</v>
      </c>
      <c r="C30" s="141"/>
      <c r="D30" s="140">
        <f t="shared" ref="D30:D37" si="3">1+D29</f>
        <v>2896</v>
      </c>
      <c r="E30" s="141"/>
      <c r="F30" s="172" t="s">
        <v>434</v>
      </c>
      <c r="G30" s="275">
        <v>2000</v>
      </c>
      <c r="H30" s="159"/>
      <c r="I30" s="140"/>
      <c r="J30" s="114"/>
      <c r="K30" s="185"/>
      <c r="L30" s="198">
        <f t="shared" si="2"/>
        <v>0</v>
      </c>
      <c r="M30" s="272" t="s">
        <v>756</v>
      </c>
      <c r="O30">
        <v>2000</v>
      </c>
    </row>
    <row r="31" spans="2:15" ht="16.2" customHeight="1" x14ac:dyDescent="0.4">
      <c r="B31" s="138">
        <v>12</v>
      </c>
      <c r="C31" s="141"/>
      <c r="D31" s="140">
        <f t="shared" si="3"/>
        <v>2897</v>
      </c>
      <c r="E31" s="141"/>
      <c r="F31" s="172" t="s">
        <v>760</v>
      </c>
      <c r="G31" s="275">
        <v>50</v>
      </c>
      <c r="H31" s="159"/>
      <c r="I31" s="140"/>
      <c r="J31" s="114"/>
      <c r="K31" s="185"/>
      <c r="L31" s="198">
        <f t="shared" si="2"/>
        <v>0</v>
      </c>
    </row>
    <row r="32" spans="2:15" ht="16.2" customHeight="1" x14ac:dyDescent="0.4">
      <c r="B32" s="138">
        <v>12</v>
      </c>
      <c r="C32" s="141"/>
      <c r="D32" s="140">
        <f t="shared" si="3"/>
        <v>2898</v>
      </c>
      <c r="E32" s="141"/>
      <c r="F32" s="172" t="s">
        <v>760</v>
      </c>
      <c r="G32" s="275">
        <v>250</v>
      </c>
      <c r="H32" s="159"/>
      <c r="I32" s="140"/>
      <c r="J32" s="114"/>
      <c r="K32" s="185"/>
      <c r="L32" s="198">
        <f t="shared" si="2"/>
        <v>0</v>
      </c>
    </row>
    <row r="33" spans="2:16" ht="16.2" customHeight="1" x14ac:dyDescent="0.4">
      <c r="B33" s="138">
        <v>12</v>
      </c>
      <c r="C33" s="141"/>
      <c r="D33" s="140">
        <f t="shared" si="3"/>
        <v>2899</v>
      </c>
      <c r="E33" s="141"/>
      <c r="F33" s="172" t="s">
        <v>761</v>
      </c>
      <c r="G33" s="275">
        <v>100</v>
      </c>
      <c r="H33" s="159"/>
      <c r="I33" s="140"/>
      <c r="J33" s="114">
        <v>0</v>
      </c>
      <c r="K33" s="185"/>
      <c r="L33" s="198">
        <f t="shared" si="2"/>
        <v>0</v>
      </c>
      <c r="M33" s="272"/>
      <c r="P33" s="216"/>
    </row>
    <row r="34" spans="2:16" ht="16.2" customHeight="1" x14ac:dyDescent="0.4">
      <c r="B34" s="175">
        <v>15</v>
      </c>
      <c r="C34" s="395"/>
      <c r="D34" s="177">
        <f t="shared" si="3"/>
        <v>2900</v>
      </c>
      <c r="E34" s="395"/>
      <c r="F34" s="396" t="s">
        <v>41</v>
      </c>
      <c r="G34" s="407">
        <v>100</v>
      </c>
      <c r="H34" s="399"/>
      <c r="I34" s="177"/>
      <c r="J34" s="114">
        <v>0</v>
      </c>
      <c r="K34" s="185"/>
      <c r="L34" s="198">
        <f t="shared" si="2"/>
        <v>0</v>
      </c>
      <c r="M34" s="272"/>
      <c r="P34" s="216"/>
    </row>
    <row r="35" spans="2:16" ht="16.2" customHeight="1" x14ac:dyDescent="0.4">
      <c r="B35" s="175">
        <v>15</v>
      </c>
      <c r="C35" s="395"/>
      <c r="D35" s="177">
        <f t="shared" si="3"/>
        <v>2901</v>
      </c>
      <c r="E35" s="395"/>
      <c r="F35" s="396" t="s">
        <v>157</v>
      </c>
      <c r="G35" s="397">
        <v>200</v>
      </c>
      <c r="H35" s="399"/>
      <c r="I35" s="177"/>
      <c r="J35" s="114"/>
      <c r="K35" s="185"/>
      <c r="L35" s="198">
        <f t="shared" si="2"/>
        <v>0</v>
      </c>
      <c r="M35" s="272"/>
    </row>
    <row r="36" spans="2:16" ht="16.2" customHeight="1" x14ac:dyDescent="0.4">
      <c r="B36" s="175">
        <v>15</v>
      </c>
      <c r="C36" s="395"/>
      <c r="D36" s="177">
        <f t="shared" si="3"/>
        <v>2902</v>
      </c>
      <c r="E36" s="395"/>
      <c r="F36" s="396" t="s">
        <v>612</v>
      </c>
      <c r="G36" s="397">
        <v>100</v>
      </c>
      <c r="H36" s="399"/>
      <c r="I36" s="177"/>
      <c r="J36" s="114"/>
      <c r="K36" s="185"/>
      <c r="L36" s="198"/>
      <c r="M36" s="272"/>
    </row>
    <row r="37" spans="2:16" ht="16.2" customHeight="1" x14ac:dyDescent="0.4">
      <c r="B37" s="175">
        <v>15</v>
      </c>
      <c r="C37" s="395"/>
      <c r="D37" s="177">
        <f t="shared" si="3"/>
        <v>2903</v>
      </c>
      <c r="E37" s="395"/>
      <c r="F37" s="396" t="s">
        <v>680</v>
      </c>
      <c r="G37" s="397">
        <v>100</v>
      </c>
      <c r="H37" s="399"/>
      <c r="I37" s="177"/>
      <c r="J37" s="114">
        <v>0</v>
      </c>
      <c r="K37" s="185"/>
      <c r="L37" s="198">
        <f t="shared" si="2"/>
        <v>0</v>
      </c>
    </row>
    <row r="38" spans="2:16" ht="16.2" customHeight="1" x14ac:dyDescent="0.4">
      <c r="B38" s="345" t="s">
        <v>307</v>
      </c>
      <c r="C38" s="395"/>
      <c r="D38" s="177"/>
      <c r="E38" s="395"/>
      <c r="F38" s="396"/>
      <c r="G38" s="400">
        <f>SUM(G29:G37)</f>
        <v>3400</v>
      </c>
      <c r="H38" s="399"/>
      <c r="I38" s="162">
        <f>G38-J38</f>
        <v>2400</v>
      </c>
      <c r="J38" s="114">
        <v>1000</v>
      </c>
      <c r="K38" s="185"/>
      <c r="L38" s="198">
        <f t="shared" si="2"/>
        <v>1000</v>
      </c>
      <c r="M38" s="272"/>
    </row>
    <row r="39" spans="2:16" ht="16.2" customHeight="1" x14ac:dyDescent="0.4">
      <c r="B39" s="175">
        <v>19</v>
      </c>
      <c r="C39" s="395"/>
      <c r="D39" s="177">
        <v>2904</v>
      </c>
      <c r="E39" s="395"/>
      <c r="F39" s="396" t="s">
        <v>762</v>
      </c>
      <c r="G39" s="397">
        <v>500</v>
      </c>
      <c r="H39" s="399"/>
      <c r="I39" s="177"/>
      <c r="J39" s="114"/>
      <c r="K39" s="185"/>
      <c r="L39" s="198">
        <f t="shared" si="2"/>
        <v>0</v>
      </c>
    </row>
    <row r="40" spans="2:16" ht="16.2" customHeight="1" x14ac:dyDescent="0.4">
      <c r="B40" s="175">
        <v>19</v>
      </c>
      <c r="C40" s="395"/>
      <c r="D40" s="177">
        <f>1+D39</f>
        <v>2905</v>
      </c>
      <c r="E40" s="395"/>
      <c r="F40" s="396" t="s">
        <v>33</v>
      </c>
      <c r="G40" s="397">
        <v>100</v>
      </c>
      <c r="H40" s="399"/>
      <c r="I40" s="177"/>
      <c r="J40" s="114"/>
      <c r="K40" s="185"/>
      <c r="L40" s="198"/>
    </row>
    <row r="41" spans="2:16" ht="16.2" customHeight="1" x14ac:dyDescent="0.4">
      <c r="B41" s="175">
        <v>19</v>
      </c>
      <c r="C41" s="395"/>
      <c r="D41" s="177">
        <f t="shared" ref="D41:D45" si="4">1+D40</f>
        <v>2906</v>
      </c>
      <c r="E41" s="395"/>
      <c r="F41" s="396" t="s">
        <v>754</v>
      </c>
      <c r="G41" s="397">
        <v>100</v>
      </c>
      <c r="H41" s="399"/>
      <c r="I41" s="177"/>
      <c r="J41" s="114"/>
      <c r="K41" s="185"/>
      <c r="L41" s="198"/>
    </row>
    <row r="42" spans="2:16" ht="16.2" customHeight="1" x14ac:dyDescent="0.4">
      <c r="B42" s="175">
        <v>19</v>
      </c>
      <c r="C42" s="395"/>
      <c r="D42" s="177">
        <f t="shared" si="4"/>
        <v>2907</v>
      </c>
      <c r="E42" s="395"/>
      <c r="F42" s="396" t="s">
        <v>180</v>
      </c>
      <c r="G42" s="397">
        <v>100</v>
      </c>
      <c r="H42" s="399"/>
      <c r="I42" s="177"/>
      <c r="J42" s="114"/>
      <c r="K42" s="185"/>
      <c r="L42" s="198"/>
    </row>
    <row r="43" spans="2:16" ht="16.2" customHeight="1" x14ac:dyDescent="0.4">
      <c r="B43" s="175">
        <v>19</v>
      </c>
      <c r="C43" s="395"/>
      <c r="D43" s="177">
        <f t="shared" si="4"/>
        <v>2908</v>
      </c>
      <c r="E43" s="395"/>
      <c r="F43" s="396" t="s">
        <v>232</v>
      </c>
      <c r="G43" s="397">
        <v>100</v>
      </c>
      <c r="H43" s="399"/>
      <c r="I43" s="177"/>
      <c r="J43" s="114"/>
      <c r="K43" s="185"/>
      <c r="L43" s="198"/>
    </row>
    <row r="44" spans="2:16" ht="16.2" customHeight="1" x14ac:dyDescent="0.4">
      <c r="B44" s="175">
        <v>19</v>
      </c>
      <c r="C44" s="395"/>
      <c r="D44" s="177">
        <f t="shared" si="4"/>
        <v>2909</v>
      </c>
      <c r="E44" s="395"/>
      <c r="F44" s="396" t="s">
        <v>41</v>
      </c>
      <c r="G44" s="397">
        <v>100</v>
      </c>
      <c r="H44" s="399"/>
      <c r="I44" s="177"/>
      <c r="J44" s="114"/>
      <c r="K44" s="185"/>
      <c r="L44" s="198"/>
    </row>
    <row r="45" spans="2:16" ht="16.2" customHeight="1" x14ac:dyDescent="0.4">
      <c r="B45" s="175">
        <v>19</v>
      </c>
      <c r="C45" s="395"/>
      <c r="D45" s="177">
        <f t="shared" si="4"/>
        <v>2910</v>
      </c>
      <c r="E45" s="395"/>
      <c r="F45" s="396" t="s">
        <v>755</v>
      </c>
      <c r="G45" s="397">
        <v>100</v>
      </c>
      <c r="H45" s="399"/>
      <c r="I45" s="177"/>
      <c r="J45" s="114"/>
      <c r="K45" s="185"/>
      <c r="L45" s="198"/>
    </row>
    <row r="46" spans="2:16" ht="16.2" customHeight="1" x14ac:dyDescent="0.4">
      <c r="B46" s="345" t="s">
        <v>307</v>
      </c>
      <c r="C46" s="395"/>
      <c r="D46" s="177"/>
      <c r="E46" s="395"/>
      <c r="F46" s="396"/>
      <c r="G46" s="400">
        <f>SUM(G39:G45)</f>
        <v>1100</v>
      </c>
      <c r="H46" s="399"/>
      <c r="I46" s="162">
        <f>G46-J46</f>
        <v>100</v>
      </c>
      <c r="J46" s="114">
        <v>1000</v>
      </c>
      <c r="K46" s="185"/>
      <c r="L46" s="198">
        <f t="shared" si="2"/>
        <v>1000</v>
      </c>
    </row>
    <row r="47" spans="2:16" ht="16.2" customHeight="1" x14ac:dyDescent="0.4">
      <c r="B47" s="175">
        <v>26</v>
      </c>
      <c r="C47" s="395"/>
      <c r="D47" s="177">
        <v>2911</v>
      </c>
      <c r="E47" s="395"/>
      <c r="F47" s="396" t="s">
        <v>232</v>
      </c>
      <c r="G47" s="397">
        <v>100</v>
      </c>
      <c r="H47" s="399"/>
      <c r="I47" s="177"/>
      <c r="J47" s="114"/>
      <c r="K47" s="185"/>
      <c r="L47" s="198">
        <f t="shared" si="2"/>
        <v>0</v>
      </c>
    </row>
    <row r="48" spans="2:16" ht="16.2" customHeight="1" x14ac:dyDescent="0.4">
      <c r="B48" s="175">
        <v>26</v>
      </c>
      <c r="C48" s="395"/>
      <c r="D48" s="177">
        <f>1+D47</f>
        <v>2912</v>
      </c>
      <c r="E48" s="395"/>
      <c r="F48" s="396" t="s">
        <v>20</v>
      </c>
      <c r="G48" s="397">
        <v>100</v>
      </c>
      <c r="H48" s="399"/>
      <c r="I48" s="177"/>
      <c r="J48" s="114"/>
      <c r="K48" s="185"/>
      <c r="L48" s="198">
        <f t="shared" si="2"/>
        <v>0</v>
      </c>
    </row>
    <row r="49" spans="2:15" ht="16.2" customHeight="1" x14ac:dyDescent="0.4">
      <c r="B49" s="175">
        <v>26</v>
      </c>
      <c r="C49" s="395"/>
      <c r="D49" s="177">
        <f t="shared" ref="D49:D50" si="5">1+D48</f>
        <v>2913</v>
      </c>
      <c r="E49" s="395"/>
      <c r="F49" s="396" t="s">
        <v>760</v>
      </c>
      <c r="G49" s="397">
        <v>300</v>
      </c>
      <c r="H49" s="399"/>
      <c r="I49" s="177"/>
      <c r="J49" s="114"/>
      <c r="K49" s="185"/>
      <c r="L49" s="198"/>
    </row>
    <row r="50" spans="2:15" ht="16.2" customHeight="1" x14ac:dyDescent="0.4">
      <c r="B50" s="175">
        <v>26</v>
      </c>
      <c r="C50" s="395"/>
      <c r="D50" s="177">
        <f t="shared" si="5"/>
        <v>2914</v>
      </c>
      <c r="E50" s="395"/>
      <c r="F50" s="396" t="s">
        <v>755</v>
      </c>
      <c r="G50" s="407">
        <v>100</v>
      </c>
      <c r="H50" s="399"/>
      <c r="I50" s="177"/>
      <c r="J50" s="114"/>
      <c r="K50" s="185"/>
      <c r="L50" s="198"/>
      <c r="M50" t="s">
        <v>794</v>
      </c>
    </row>
    <row r="51" spans="2:15" ht="16.2" customHeight="1" x14ac:dyDescent="0.4">
      <c r="B51" s="175">
        <v>26</v>
      </c>
      <c r="C51" s="395"/>
      <c r="D51" s="177" t="s">
        <v>245</v>
      </c>
      <c r="E51" s="395"/>
      <c r="F51" s="396" t="s">
        <v>386</v>
      </c>
      <c r="G51" s="407">
        <f>4950</f>
        <v>4950</v>
      </c>
      <c r="H51" s="399"/>
      <c r="I51" s="177"/>
      <c r="J51" s="114"/>
      <c r="K51" s="185"/>
      <c r="L51" s="198">
        <f t="shared" si="2"/>
        <v>0</v>
      </c>
      <c r="M51" s="272" t="s">
        <v>756</v>
      </c>
      <c r="O51" s="436">
        <v>4950</v>
      </c>
    </row>
    <row r="52" spans="2:15" ht="16.2" customHeight="1" thickBot="1" x14ac:dyDescent="0.45">
      <c r="B52" s="345" t="s">
        <v>307</v>
      </c>
      <c r="C52" s="395"/>
      <c r="D52" s="177"/>
      <c r="E52" s="395"/>
      <c r="F52" s="396"/>
      <c r="G52" s="400">
        <f>SUM(G47:G51)</f>
        <v>5550</v>
      </c>
      <c r="H52" s="399"/>
      <c r="I52" s="162">
        <f>G52-J52</f>
        <v>4750</v>
      </c>
      <c r="J52" s="114">
        <v>800</v>
      </c>
      <c r="K52" s="185">
        <v>200</v>
      </c>
      <c r="L52" s="198">
        <f t="shared" si="2"/>
        <v>1000</v>
      </c>
    </row>
    <row r="53" spans="2:15" ht="16.2" hidden="1" customHeight="1" x14ac:dyDescent="0.4">
      <c r="B53" s="138">
        <v>19</v>
      </c>
      <c r="C53" s="141"/>
      <c r="D53" s="140">
        <v>2792</v>
      </c>
      <c r="E53" s="141"/>
      <c r="F53" s="172" t="s">
        <v>158</v>
      </c>
      <c r="G53" s="158"/>
      <c r="H53" s="159"/>
      <c r="I53" s="140"/>
      <c r="J53" s="179"/>
      <c r="K53" s="185"/>
      <c r="L53" s="199"/>
    </row>
    <row r="54" spans="2:15" ht="16.2" hidden="1" customHeight="1" x14ac:dyDescent="0.4">
      <c r="B54" s="138">
        <v>19</v>
      </c>
      <c r="C54" s="141"/>
      <c r="D54" s="140">
        <f>1+D53</f>
        <v>2793</v>
      </c>
      <c r="E54" s="141"/>
      <c r="F54" s="172" t="s">
        <v>41</v>
      </c>
      <c r="G54" s="275"/>
      <c r="H54" s="159"/>
      <c r="I54" s="162"/>
      <c r="J54" s="179"/>
      <c r="K54" s="185"/>
      <c r="L54" s="199"/>
    </row>
    <row r="55" spans="2:15" ht="16.2" hidden="1" customHeight="1" x14ac:dyDescent="0.4">
      <c r="B55" s="154" t="s">
        <v>307</v>
      </c>
      <c r="C55" s="141"/>
      <c r="D55" s="140"/>
      <c r="E55" s="141"/>
      <c r="F55" s="172"/>
      <c r="G55" s="334">
        <f>SUM(G53:G54)</f>
        <v>0</v>
      </c>
      <c r="H55" s="159"/>
      <c r="I55" s="162">
        <f>G55-J55</f>
        <v>0</v>
      </c>
      <c r="J55" s="179"/>
      <c r="K55" s="185"/>
      <c r="L55" s="199"/>
    </row>
    <row r="56" spans="2:15" ht="16.2" hidden="1" customHeight="1" x14ac:dyDescent="0.4">
      <c r="B56" s="138">
        <v>20</v>
      </c>
      <c r="C56" s="141"/>
      <c r="D56" s="140">
        <v>2794</v>
      </c>
      <c r="E56" s="141"/>
      <c r="F56" s="172" t="s">
        <v>550</v>
      </c>
      <c r="G56" s="275"/>
      <c r="H56" s="159"/>
      <c r="I56" s="140"/>
      <c r="J56" s="179"/>
      <c r="K56" s="185"/>
      <c r="L56" s="199"/>
    </row>
    <row r="57" spans="2:15" ht="16.2" hidden="1" customHeight="1" x14ac:dyDescent="0.4">
      <c r="B57" s="138">
        <v>20</v>
      </c>
      <c r="C57" s="141"/>
      <c r="D57" s="140">
        <f t="shared" ref="D57:D62" si="6">1+D56</f>
        <v>2795</v>
      </c>
      <c r="E57" s="141"/>
      <c r="F57" s="172" t="s">
        <v>551</v>
      </c>
      <c r="G57" s="275"/>
      <c r="H57" s="159"/>
      <c r="I57" s="140"/>
      <c r="J57" s="179"/>
      <c r="K57" s="185"/>
      <c r="L57" s="199"/>
    </row>
    <row r="58" spans="2:15" ht="16.2" hidden="1" customHeight="1" x14ac:dyDescent="0.4">
      <c r="B58" s="138">
        <v>20</v>
      </c>
      <c r="C58" s="141"/>
      <c r="D58" s="140">
        <f t="shared" si="6"/>
        <v>2796</v>
      </c>
      <c r="E58" s="141"/>
      <c r="F58" s="172" t="s">
        <v>552</v>
      </c>
      <c r="G58" s="275"/>
      <c r="H58" s="159"/>
      <c r="I58" s="140"/>
      <c r="J58" s="179"/>
      <c r="K58" s="185"/>
      <c r="L58" s="199"/>
    </row>
    <row r="59" spans="2:15" ht="16.2" hidden="1" customHeight="1" x14ac:dyDescent="0.4">
      <c r="B59" s="138">
        <v>20</v>
      </c>
      <c r="C59" s="141"/>
      <c r="D59" s="140">
        <f t="shared" si="6"/>
        <v>2797</v>
      </c>
      <c r="E59" s="141"/>
      <c r="F59" s="172" t="s">
        <v>33</v>
      </c>
      <c r="G59" s="275"/>
      <c r="H59" s="159"/>
      <c r="I59" s="140"/>
      <c r="J59" s="179"/>
      <c r="K59" s="185"/>
      <c r="L59" s="199"/>
    </row>
    <row r="60" spans="2:15" ht="16.2" hidden="1" customHeight="1" x14ac:dyDescent="0.4">
      <c r="B60" s="138">
        <v>20</v>
      </c>
      <c r="C60" s="141"/>
      <c r="D60" s="140">
        <f t="shared" si="6"/>
        <v>2798</v>
      </c>
      <c r="E60" s="141"/>
      <c r="F60" s="172" t="s">
        <v>553</v>
      </c>
      <c r="G60" s="275"/>
      <c r="H60" s="159"/>
      <c r="I60" s="140"/>
      <c r="J60" s="179"/>
      <c r="K60" s="185"/>
      <c r="L60" s="199"/>
    </row>
    <row r="61" spans="2:15" ht="16.2" hidden="1" customHeight="1" x14ac:dyDescent="0.4">
      <c r="B61" s="138">
        <v>20</v>
      </c>
      <c r="C61" s="141"/>
      <c r="D61" s="140">
        <f t="shared" si="6"/>
        <v>2799</v>
      </c>
      <c r="E61" s="141"/>
      <c r="F61" s="335" t="s">
        <v>554</v>
      </c>
      <c r="G61" s="275">
        <v>0</v>
      </c>
      <c r="H61" s="159"/>
      <c r="I61" s="140"/>
      <c r="J61" s="179"/>
      <c r="K61" s="185"/>
      <c r="L61" s="199"/>
    </row>
    <row r="62" spans="2:15" ht="16.2" hidden="1" customHeight="1" x14ac:dyDescent="0.4">
      <c r="B62" s="138">
        <v>20</v>
      </c>
      <c r="C62" s="141"/>
      <c r="D62" s="140">
        <f t="shared" si="6"/>
        <v>2800</v>
      </c>
      <c r="E62" s="141"/>
      <c r="F62" s="172" t="s">
        <v>121</v>
      </c>
      <c r="G62" s="348"/>
      <c r="H62" s="159"/>
      <c r="I62" s="140"/>
      <c r="J62" s="142"/>
      <c r="K62" s="185"/>
      <c r="L62" s="199"/>
    </row>
    <row r="63" spans="2:15" ht="16.2" hidden="1" customHeight="1" x14ac:dyDescent="0.4">
      <c r="B63" s="154" t="s">
        <v>307</v>
      </c>
      <c r="C63" s="141"/>
      <c r="D63" s="140"/>
      <c r="E63" s="141"/>
      <c r="F63" s="172"/>
      <c r="G63" s="334">
        <f>SUM(G56:G62)</f>
        <v>0</v>
      </c>
      <c r="H63" s="159"/>
      <c r="I63" s="162">
        <f>G63-J63</f>
        <v>0</v>
      </c>
      <c r="J63" s="142">
        <v>0</v>
      </c>
      <c r="K63" s="185"/>
      <c r="L63" s="198">
        <f>J63+K63</f>
        <v>0</v>
      </c>
    </row>
    <row r="64" spans="2:15" ht="16.2" hidden="1" customHeight="1" x14ac:dyDescent="0.4">
      <c r="B64" s="138">
        <v>12</v>
      </c>
      <c r="C64" s="141"/>
      <c r="D64" s="140">
        <v>2801</v>
      </c>
      <c r="E64" s="141"/>
      <c r="F64" s="172" t="s">
        <v>434</v>
      </c>
      <c r="G64" s="275"/>
      <c r="H64" s="159"/>
      <c r="I64" s="162"/>
      <c r="J64" s="142"/>
      <c r="K64" s="185"/>
      <c r="L64" s="198"/>
    </row>
    <row r="65" spans="2:16" ht="16.2" hidden="1" customHeight="1" x14ac:dyDescent="0.4">
      <c r="B65" s="138">
        <v>13</v>
      </c>
      <c r="C65" s="141"/>
      <c r="D65" s="140">
        <f t="shared" ref="D65:D70" si="7">1+D64</f>
        <v>2802</v>
      </c>
      <c r="E65" s="141"/>
      <c r="F65" s="347" t="s">
        <v>555</v>
      </c>
      <c r="G65" s="341"/>
      <c r="H65" s="159"/>
      <c r="I65" s="162"/>
      <c r="J65" s="142"/>
      <c r="K65" s="185"/>
      <c r="L65" s="198"/>
    </row>
    <row r="66" spans="2:16" ht="16.2" hidden="1" customHeight="1" x14ac:dyDescent="0.4">
      <c r="B66" s="138">
        <v>14</v>
      </c>
      <c r="C66" s="141"/>
      <c r="D66" s="140">
        <f t="shared" si="7"/>
        <v>2803</v>
      </c>
      <c r="E66" s="141"/>
      <c r="F66" s="347" t="s">
        <v>106</v>
      </c>
      <c r="G66" s="341"/>
      <c r="H66" s="159"/>
      <c r="I66" s="140"/>
      <c r="J66" s="142"/>
      <c r="K66" s="185"/>
      <c r="L66" s="199"/>
    </row>
    <row r="67" spans="2:16" ht="16.2" hidden="1" customHeight="1" x14ac:dyDescent="0.4">
      <c r="B67" s="138">
        <v>15</v>
      </c>
      <c r="C67" s="141"/>
      <c r="D67" s="140">
        <f t="shared" si="7"/>
        <v>2804</v>
      </c>
      <c r="E67" s="141"/>
      <c r="F67" s="347" t="s">
        <v>556</v>
      </c>
      <c r="G67" s="341"/>
      <c r="H67" s="159"/>
      <c r="I67" s="140"/>
      <c r="J67" s="142"/>
      <c r="K67" s="185"/>
      <c r="L67" s="199"/>
    </row>
    <row r="68" spans="2:16" ht="16.2" hidden="1" customHeight="1" x14ac:dyDescent="0.4">
      <c r="B68" s="138">
        <v>17</v>
      </c>
      <c r="C68" s="141"/>
      <c r="D68" s="140">
        <f t="shared" si="7"/>
        <v>2805</v>
      </c>
      <c r="E68" s="141"/>
      <c r="F68" s="172" t="s">
        <v>14</v>
      </c>
      <c r="G68" s="275"/>
      <c r="H68" s="159"/>
      <c r="I68" s="140"/>
      <c r="J68" s="142"/>
      <c r="K68" s="185"/>
      <c r="L68" s="199"/>
    </row>
    <row r="69" spans="2:16" ht="16.2" hidden="1" customHeight="1" x14ac:dyDescent="0.4">
      <c r="B69" s="138">
        <v>20</v>
      </c>
      <c r="C69" s="141"/>
      <c r="D69" s="140">
        <f t="shared" si="7"/>
        <v>2806</v>
      </c>
      <c r="E69" s="141"/>
      <c r="F69" s="172" t="s">
        <v>557</v>
      </c>
      <c r="G69" s="275"/>
      <c r="H69" s="159"/>
      <c r="I69" s="140"/>
      <c r="J69" s="142"/>
      <c r="K69" s="185"/>
      <c r="L69" s="199"/>
    </row>
    <row r="70" spans="2:16" ht="16.2" hidden="1" customHeight="1" x14ac:dyDescent="0.4">
      <c r="B70" s="138">
        <v>25</v>
      </c>
      <c r="C70" s="141"/>
      <c r="D70" s="140">
        <f t="shared" si="7"/>
        <v>2807</v>
      </c>
      <c r="E70" s="141"/>
      <c r="F70" s="172" t="s">
        <v>558</v>
      </c>
      <c r="G70" s="275"/>
      <c r="H70" s="159"/>
      <c r="I70" s="140"/>
      <c r="J70" s="142"/>
      <c r="K70" s="185"/>
      <c r="L70" s="199"/>
    </row>
    <row r="71" spans="2:16" ht="16.2" hidden="1" customHeight="1" x14ac:dyDescent="0.4">
      <c r="B71" s="345" t="s">
        <v>307</v>
      </c>
      <c r="C71" s="141"/>
      <c r="D71" s="140"/>
      <c r="E71" s="141"/>
      <c r="F71" s="172"/>
      <c r="G71" s="334">
        <f>SUM(G64:G70)</f>
        <v>0</v>
      </c>
      <c r="H71" s="159"/>
      <c r="I71" s="343">
        <f>G71-J71</f>
        <v>0</v>
      </c>
      <c r="J71" s="142">
        <v>0</v>
      </c>
      <c r="K71" s="185"/>
      <c r="L71" s="198">
        <f>J71+K71</f>
        <v>0</v>
      </c>
    </row>
    <row r="72" spans="2:16" ht="16.2" hidden="1" customHeight="1" x14ac:dyDescent="0.4">
      <c r="B72" s="345" t="s">
        <v>307</v>
      </c>
      <c r="C72" s="19"/>
      <c r="D72" s="157"/>
      <c r="E72" s="19"/>
      <c r="F72" s="17" t="s">
        <v>571</v>
      </c>
      <c r="G72" s="349"/>
      <c r="H72" s="350"/>
      <c r="I72" s="343">
        <f>G72-J72</f>
        <v>0</v>
      </c>
      <c r="J72" s="216"/>
      <c r="K72" s="351"/>
      <c r="L72" s="352"/>
    </row>
    <row r="73" spans="2:16" ht="22.2" customHeight="1" thickBot="1" x14ac:dyDescent="0.45">
      <c r="B73" s="318" t="s">
        <v>297</v>
      </c>
      <c r="C73" s="319"/>
      <c r="D73" s="320"/>
      <c r="E73" s="321"/>
      <c r="F73" s="319"/>
      <c r="G73" s="322">
        <f>G19+G28+G38+G46+G52</f>
        <v>17935</v>
      </c>
      <c r="H73" s="322"/>
      <c r="I73" s="322">
        <f t="shared" ref="I73:L73" si="8">I19+I28+I38+I46+I52</f>
        <v>12985</v>
      </c>
      <c r="J73" s="322">
        <f t="shared" si="8"/>
        <v>4950</v>
      </c>
      <c r="K73" s="322">
        <f t="shared" si="8"/>
        <v>550</v>
      </c>
      <c r="L73" s="322">
        <f t="shared" si="8"/>
        <v>5500</v>
      </c>
      <c r="O73" s="322">
        <f>SUM(O11:O52)</f>
        <v>12450</v>
      </c>
      <c r="P73" s="408"/>
    </row>
    <row r="74" spans="2:16" ht="16.2" customHeight="1" x14ac:dyDescent="0.4">
      <c r="B74" s="9"/>
      <c r="C74" s="8"/>
      <c r="D74" s="19"/>
      <c r="E74" s="19"/>
      <c r="F74" s="8"/>
      <c r="G74" s="10"/>
      <c r="H74" s="10"/>
      <c r="I74" s="14" t="s">
        <v>245</v>
      </c>
      <c r="J74" s="14" t="s">
        <v>245</v>
      </c>
      <c r="K74" s="12"/>
      <c r="L74" s="15" t="s">
        <v>245</v>
      </c>
      <c r="O74">
        <v>12450</v>
      </c>
      <c r="P74" s="409"/>
    </row>
    <row r="75" spans="2:16" ht="14.15" customHeight="1" x14ac:dyDescent="0.4">
      <c r="B75" s="8"/>
      <c r="C75" s="8"/>
      <c r="D75" s="8"/>
      <c r="E75" s="8"/>
      <c r="F75" s="19"/>
      <c r="G75" s="8"/>
      <c r="H75" s="8"/>
      <c r="I75" s="8"/>
      <c r="J75" s="8"/>
      <c r="K75" s="8"/>
    </row>
    <row r="76" spans="2:16" ht="14.15" customHeight="1" x14ac:dyDescent="0.4">
      <c r="B76" s="267" t="s">
        <v>766</v>
      </c>
      <c r="C76" s="267"/>
      <c r="D76" s="267"/>
      <c r="E76" s="267"/>
      <c r="F76" s="19"/>
      <c r="G76" s="8"/>
      <c r="H76" s="8"/>
      <c r="I76" s="8"/>
      <c r="J76" s="8"/>
      <c r="K76" s="8"/>
    </row>
    <row r="77" spans="2:16" ht="14.15" customHeight="1" thickBot="1" x14ac:dyDescent="0.45">
      <c r="B77" s="19" t="s">
        <v>245</v>
      </c>
      <c r="C77" s="8"/>
      <c r="D77" s="8"/>
      <c r="E77" s="8"/>
      <c r="F77" s="19"/>
      <c r="G77" s="19"/>
      <c r="H77" s="19"/>
      <c r="I77" s="19"/>
      <c r="J77" s="19"/>
      <c r="K77" s="19"/>
    </row>
    <row r="78" spans="2:16" ht="18" customHeight="1" thickBot="1" x14ac:dyDescent="0.45">
      <c r="B78" s="469" t="s">
        <v>311</v>
      </c>
      <c r="C78" s="470"/>
      <c r="D78" s="470"/>
      <c r="E78" s="471"/>
      <c r="F78" s="209" t="s">
        <v>123</v>
      </c>
      <c r="G78" s="19"/>
      <c r="H78" s="19"/>
      <c r="I78" s="19"/>
      <c r="J78" s="19"/>
      <c r="K78" s="19"/>
    </row>
    <row r="79" spans="2:16" ht="15" customHeight="1" thickBot="1" x14ac:dyDescent="0.45">
      <c r="B79" s="329" t="s">
        <v>159</v>
      </c>
      <c r="C79" s="330" t="s">
        <v>154</v>
      </c>
      <c r="D79" s="325" t="s">
        <v>245</v>
      </c>
      <c r="E79" s="325"/>
      <c r="F79" s="401">
        <v>1500</v>
      </c>
      <c r="G79" s="41"/>
      <c r="H79" s="41"/>
      <c r="I79" s="8"/>
      <c r="J79" s="201"/>
      <c r="K79" s="8"/>
    </row>
    <row r="80" spans="2:16" ht="15" customHeight="1" thickBot="1" x14ac:dyDescent="0.45">
      <c r="B80" s="329" t="s">
        <v>159</v>
      </c>
      <c r="C80" s="330" t="s">
        <v>21</v>
      </c>
      <c r="D80" s="325"/>
      <c r="E80" s="325"/>
      <c r="F80" s="401">
        <v>1000</v>
      </c>
      <c r="G80" s="41"/>
      <c r="H80" s="41"/>
      <c r="I80" s="8"/>
      <c r="J80" s="201"/>
      <c r="K80" s="8"/>
    </row>
    <row r="81" spans="2:11" ht="15" customHeight="1" thickBot="1" x14ac:dyDescent="0.45">
      <c r="B81" s="329" t="s">
        <v>159</v>
      </c>
      <c r="C81" s="330">
        <v>12</v>
      </c>
      <c r="D81" s="325"/>
      <c r="E81" s="325"/>
      <c r="F81" s="401">
        <v>1000</v>
      </c>
      <c r="G81" s="41"/>
      <c r="H81" s="41"/>
      <c r="I81" s="8"/>
      <c r="J81" s="201"/>
      <c r="K81" s="8"/>
    </row>
    <row r="82" spans="2:11" ht="15" customHeight="1" thickBot="1" x14ac:dyDescent="0.45">
      <c r="B82" s="329" t="s">
        <v>159</v>
      </c>
      <c r="C82" s="330">
        <v>19</v>
      </c>
      <c r="D82" s="325"/>
      <c r="E82" s="325"/>
      <c r="F82" s="401">
        <v>1000</v>
      </c>
      <c r="G82" s="41"/>
      <c r="H82" s="41"/>
      <c r="I82" s="8"/>
      <c r="J82" s="201"/>
      <c r="K82" s="8"/>
    </row>
    <row r="83" spans="2:11" ht="15" customHeight="1" thickBot="1" x14ac:dyDescent="0.45">
      <c r="B83" s="388" t="s">
        <v>159</v>
      </c>
      <c r="C83" s="331">
        <v>26</v>
      </c>
      <c r="D83" s="326"/>
      <c r="E83" s="326"/>
      <c r="F83" s="402">
        <v>1000</v>
      </c>
      <c r="G83" s="41"/>
      <c r="H83" s="41"/>
      <c r="I83" s="8"/>
      <c r="J83" s="201"/>
      <c r="K83" s="8"/>
    </row>
    <row r="84" spans="2:11" ht="8.15" customHeight="1" x14ac:dyDescent="0.4">
      <c r="B84" s="210"/>
      <c r="C84" s="211"/>
      <c r="D84" s="212" t="s">
        <v>245</v>
      </c>
      <c r="E84" s="212"/>
      <c r="F84" s="213"/>
      <c r="G84" s="10"/>
      <c r="H84" s="10"/>
      <c r="I84" s="21"/>
      <c r="J84" s="201"/>
      <c r="K84" s="10"/>
    </row>
    <row r="85" spans="2:11" ht="14.15" customHeight="1" thickBot="1" x14ac:dyDescent="0.45">
      <c r="B85" s="466" t="s">
        <v>296</v>
      </c>
      <c r="C85" s="467"/>
      <c r="D85" s="467"/>
      <c r="E85" s="214"/>
      <c r="F85" s="215">
        <f>SUM(F79:F83)</f>
        <v>5500</v>
      </c>
      <c r="G85" s="10"/>
      <c r="H85" s="10"/>
      <c r="I85" s="21"/>
      <c r="J85" s="203"/>
      <c r="K85" s="10"/>
    </row>
    <row r="86" spans="2:11" ht="15.45" x14ac:dyDescent="0.4">
      <c r="B86" s="26"/>
      <c r="C86" s="8"/>
      <c r="D86" s="8"/>
      <c r="E86" s="8"/>
      <c r="F86" s="8"/>
      <c r="G86" s="10"/>
      <c r="H86" s="10"/>
      <c r="I86" s="27"/>
      <c r="J86" s="27"/>
      <c r="K86" s="10"/>
    </row>
    <row r="87" spans="2:11" ht="15.45" x14ac:dyDescent="0.4">
      <c r="B87" s="25"/>
      <c r="C87" s="8"/>
      <c r="D87" s="8"/>
      <c r="E87" s="8"/>
      <c r="F87" s="8"/>
      <c r="G87" s="41"/>
      <c r="H87" s="41"/>
      <c r="I87" s="21"/>
      <c r="J87" s="27"/>
      <c r="K87" s="10"/>
    </row>
    <row r="88" spans="2:11" ht="15.45" x14ac:dyDescent="0.4">
      <c r="B88" s="26"/>
      <c r="C88" s="8"/>
      <c r="D88" s="6"/>
      <c r="E88" s="6"/>
      <c r="F88" s="8"/>
      <c r="G88" s="10"/>
      <c r="H88" s="10"/>
      <c r="I88" s="10"/>
      <c r="J88" s="8"/>
      <c r="K88" s="10"/>
    </row>
    <row r="89" spans="2:11" ht="15.45" x14ac:dyDescent="0.4">
      <c r="F89" s="8"/>
      <c r="I89" s="27"/>
    </row>
  </sheetData>
  <mergeCells count="9">
    <mergeCell ref="B78:E78"/>
    <mergeCell ref="B85:D85"/>
    <mergeCell ref="B5:L5"/>
    <mergeCell ref="F7:J7"/>
    <mergeCell ref="G9:G10"/>
    <mergeCell ref="H9:H10"/>
    <mergeCell ref="I9:I10"/>
    <mergeCell ref="J9:K9"/>
    <mergeCell ref="L9:L10"/>
  </mergeCells>
  <pageMargins left="0" right="0" top="0" bottom="0.25" header="0.3" footer="0.3"/>
  <pageSetup paperSize="9" scale="80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41CD01-94B1-4BE8-9298-5B7137026E30}">
  <dimension ref="B1:S89"/>
  <sheetViews>
    <sheetView topLeftCell="A29" workbookViewId="0">
      <selection activeCell="M61" sqref="M61"/>
    </sheetView>
  </sheetViews>
  <sheetFormatPr defaultRowHeight="14.6" x14ac:dyDescent="0.4"/>
  <cols>
    <col min="1" max="1" width="3.3046875" customWidth="1"/>
    <col min="2" max="2" width="1.3046875" customWidth="1"/>
    <col min="3" max="3" width="16.69140625" customWidth="1"/>
    <col min="4" max="4" width="0.53515625" customWidth="1"/>
    <col min="5" max="5" width="12.3046875" customWidth="1"/>
    <col min="6" max="6" width="1.4609375" customWidth="1"/>
    <col min="7" max="7" width="12" customWidth="1"/>
    <col min="8" max="8" width="19.07421875" customWidth="1"/>
    <col min="9" max="9" width="16.53515625" customWidth="1"/>
    <col min="10" max="10" width="21.3046875" customWidth="1"/>
    <col min="11" max="11" width="16.07421875" customWidth="1"/>
    <col min="12" max="12" width="3" customWidth="1"/>
    <col min="13" max="13" width="18.3046875" customWidth="1"/>
    <col min="14" max="14" width="1" customWidth="1"/>
    <col min="15" max="15" width="12.84375" customWidth="1"/>
    <col min="16" max="16" width="10.07421875" bestFit="1" customWidth="1"/>
    <col min="17" max="17" width="11.4609375" customWidth="1"/>
  </cols>
  <sheetData>
    <row r="1" spans="3:15" ht="6" customHeight="1" x14ac:dyDescent="0.4"/>
    <row r="2" spans="3:15" ht="6" customHeight="1" x14ac:dyDescent="0.4"/>
    <row r="3" spans="3:15" ht="6" customHeight="1" x14ac:dyDescent="0.4"/>
    <row r="4" spans="3:15" ht="20.149999999999999" customHeight="1" x14ac:dyDescent="0.4">
      <c r="C4" s="476" t="s">
        <v>0</v>
      </c>
      <c r="D4" s="476"/>
      <c r="E4" s="476"/>
      <c r="F4" s="476"/>
      <c r="G4" s="476"/>
      <c r="H4" s="476"/>
      <c r="I4" s="476"/>
      <c r="J4" s="476"/>
      <c r="K4" s="476"/>
      <c r="L4" s="476"/>
      <c r="M4" s="476"/>
      <c r="N4" s="476"/>
    </row>
    <row r="5" spans="3:15" ht="20.149999999999999" customHeight="1" x14ac:dyDescent="0.45">
      <c r="C5" s="492" t="s">
        <v>333</v>
      </c>
      <c r="D5" s="492"/>
      <c r="E5" s="492"/>
      <c r="F5" s="492"/>
      <c r="G5" s="492"/>
      <c r="H5" s="492"/>
      <c r="I5" s="492"/>
      <c r="J5" s="492"/>
      <c r="K5" s="492"/>
      <c r="L5" s="492"/>
      <c r="M5" s="492"/>
      <c r="N5" s="243"/>
    </row>
    <row r="6" spans="3:15" ht="20.149999999999999" customHeight="1" x14ac:dyDescent="0.45">
      <c r="C6" s="492" t="s">
        <v>245</v>
      </c>
      <c r="D6" s="492"/>
      <c r="E6" s="492"/>
      <c r="F6" s="492"/>
      <c r="G6" s="492"/>
      <c r="H6" s="492"/>
      <c r="I6" s="492"/>
      <c r="J6" s="492"/>
      <c r="K6" s="492"/>
      <c r="L6" s="492"/>
      <c r="M6" s="492"/>
      <c r="N6" s="243"/>
    </row>
    <row r="7" spans="3:15" ht="20.149999999999999" customHeight="1" x14ac:dyDescent="0.45">
      <c r="C7" s="476" t="s">
        <v>318</v>
      </c>
      <c r="D7" s="476"/>
      <c r="E7" s="476"/>
      <c r="F7" s="476"/>
      <c r="G7" s="476"/>
      <c r="H7" s="476"/>
      <c r="I7" s="476"/>
      <c r="J7" s="476"/>
      <c r="K7" s="476"/>
      <c r="L7" s="476"/>
      <c r="M7" s="476"/>
      <c r="N7" s="243"/>
    </row>
    <row r="8" spans="3:15" ht="20.149999999999999" customHeight="1" x14ac:dyDescent="0.45">
      <c r="C8" s="476" t="s">
        <v>783</v>
      </c>
      <c r="D8" s="476"/>
      <c r="E8" s="476"/>
      <c r="F8" s="476"/>
      <c r="G8" s="476"/>
      <c r="H8" s="476"/>
      <c r="I8" s="476"/>
      <c r="J8" s="476"/>
      <c r="K8" s="476"/>
      <c r="L8" s="476"/>
      <c r="M8" s="476"/>
      <c r="N8" s="221"/>
    </row>
    <row r="9" spans="3:15" ht="15" customHeight="1" x14ac:dyDescent="0.4"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</row>
    <row r="10" spans="3:15" ht="15" customHeight="1" x14ac:dyDescent="0.45">
      <c r="C10" s="220" t="s">
        <v>784</v>
      </c>
      <c r="D10" s="221"/>
      <c r="E10" s="221"/>
      <c r="F10" s="221"/>
      <c r="G10" s="221"/>
      <c r="H10" s="221"/>
      <c r="I10" s="221"/>
      <c r="J10" s="221"/>
      <c r="K10" s="221"/>
      <c r="L10" s="247" t="s">
        <v>326</v>
      </c>
      <c r="M10" s="219">
        <f>'Jan-2025-FR'!M54</f>
        <v>47581.220000000016</v>
      </c>
      <c r="N10" s="8"/>
      <c r="O10" s="135" t="s">
        <v>245</v>
      </c>
    </row>
    <row r="11" spans="3:15" ht="15" customHeight="1" x14ac:dyDescent="0.45">
      <c r="C11" s="221"/>
      <c r="D11" s="221"/>
      <c r="E11" s="221"/>
      <c r="F11" s="221"/>
      <c r="G11" s="221"/>
      <c r="H11" s="221"/>
      <c r="I11" s="221"/>
      <c r="J11" s="221"/>
      <c r="K11" s="221"/>
      <c r="L11" s="8"/>
      <c r="M11" s="8"/>
      <c r="N11" s="8"/>
    </row>
    <row r="12" spans="3:15" ht="15" customHeight="1" x14ac:dyDescent="0.45">
      <c r="C12" s="220" t="s">
        <v>785</v>
      </c>
      <c r="D12" s="220"/>
      <c r="E12" s="221"/>
      <c r="F12" s="221"/>
      <c r="G12" s="221"/>
      <c r="H12" s="221"/>
      <c r="I12" s="221"/>
      <c r="J12" s="221"/>
      <c r="K12" s="221"/>
      <c r="L12" s="8"/>
      <c r="M12" s="8"/>
      <c r="N12" s="8"/>
    </row>
    <row r="13" spans="3:15" ht="15" customHeight="1" x14ac:dyDescent="0.45">
      <c r="C13" s="221"/>
      <c r="D13" s="221"/>
      <c r="E13" s="221"/>
      <c r="F13" s="221"/>
      <c r="G13" s="221"/>
      <c r="H13" s="221"/>
      <c r="I13" s="226" t="s">
        <v>245</v>
      </c>
      <c r="J13" s="226"/>
      <c r="K13" s="226" t="s">
        <v>245</v>
      </c>
      <c r="L13" s="19"/>
      <c r="M13" s="8"/>
      <c r="N13" s="8"/>
    </row>
    <row r="14" spans="3:15" ht="15" customHeight="1" x14ac:dyDescent="0.45">
      <c r="C14" s="476" t="s">
        <v>305</v>
      </c>
      <c r="D14" s="476"/>
      <c r="E14" s="476"/>
      <c r="F14" s="221"/>
      <c r="G14" s="221" t="s">
        <v>320</v>
      </c>
      <c r="H14" s="221"/>
      <c r="I14" s="226"/>
      <c r="J14" s="226"/>
      <c r="K14" s="226"/>
      <c r="L14" s="19"/>
      <c r="M14" s="8"/>
      <c r="N14" s="8"/>
    </row>
    <row r="15" spans="3:15" ht="15" customHeight="1" x14ac:dyDescent="0.45">
      <c r="C15" s="238"/>
      <c r="D15" s="238"/>
      <c r="E15" s="238"/>
      <c r="F15" s="221"/>
      <c r="G15" s="221"/>
      <c r="H15" s="221"/>
      <c r="I15" s="226"/>
      <c r="J15" s="226"/>
      <c r="K15" s="226"/>
      <c r="L15" s="19"/>
      <c r="M15" s="8"/>
      <c r="N15" s="8"/>
    </row>
    <row r="16" spans="3:15" ht="15" customHeight="1" x14ac:dyDescent="0.45">
      <c r="C16" s="476" t="s">
        <v>245</v>
      </c>
      <c r="D16" s="476"/>
      <c r="E16" s="476"/>
      <c r="F16" s="221"/>
      <c r="G16" s="221"/>
      <c r="H16" s="239" t="s">
        <v>316</v>
      </c>
      <c r="I16" s="239" t="s">
        <v>2</v>
      </c>
      <c r="J16" s="239" t="s">
        <v>407</v>
      </c>
      <c r="K16" s="239" t="s">
        <v>306</v>
      </c>
      <c r="L16" s="19"/>
      <c r="M16" s="8"/>
      <c r="N16" s="8"/>
    </row>
    <row r="17" spans="3:16" ht="15" customHeight="1" x14ac:dyDescent="0.45">
      <c r="C17" s="221"/>
      <c r="D17" s="221"/>
      <c r="E17" s="226" t="s">
        <v>245</v>
      </c>
      <c r="F17" s="226"/>
      <c r="G17" s="240" t="s">
        <v>245</v>
      </c>
      <c r="H17" s="222" t="s">
        <v>245</v>
      </c>
      <c r="I17" s="241" t="s">
        <v>245</v>
      </c>
      <c r="J17" s="241"/>
      <c r="K17" s="230" t="s">
        <v>245</v>
      </c>
      <c r="L17" s="201"/>
      <c r="M17" s="8"/>
      <c r="N17" s="8"/>
    </row>
    <row r="18" spans="3:16" ht="20.149999999999999" customHeight="1" x14ac:dyDescent="0.45">
      <c r="C18" s="221"/>
      <c r="D18" s="221"/>
      <c r="E18" s="226" t="s">
        <v>253</v>
      </c>
      <c r="F18" s="226"/>
      <c r="G18" s="240" t="s">
        <v>30</v>
      </c>
      <c r="H18" s="222">
        <v>1913</v>
      </c>
      <c r="I18" s="222">
        <v>0</v>
      </c>
      <c r="J18" s="222">
        <v>0</v>
      </c>
      <c r="K18" s="222">
        <f>H18-I18-J18</f>
        <v>1913</v>
      </c>
      <c r="L18" s="216"/>
      <c r="M18" s="8"/>
      <c r="N18" s="8"/>
    </row>
    <row r="19" spans="3:16" ht="20.149999999999999" customHeight="1" x14ac:dyDescent="0.45">
      <c r="C19" s="221"/>
      <c r="D19" s="221"/>
      <c r="E19" s="226" t="s">
        <v>253</v>
      </c>
      <c r="F19" s="226"/>
      <c r="G19" s="240" t="s">
        <v>29</v>
      </c>
      <c r="H19" s="222">
        <v>1671</v>
      </c>
      <c r="I19" s="222">
        <v>400</v>
      </c>
      <c r="J19" s="222">
        <v>0</v>
      </c>
      <c r="K19" s="222">
        <f t="shared" ref="K19:K21" si="0">H19-I19-J19</f>
        <v>1271</v>
      </c>
      <c r="L19" s="216"/>
      <c r="M19" s="8"/>
      <c r="N19" s="8"/>
    </row>
    <row r="20" spans="3:16" ht="20.149999999999999" customHeight="1" x14ac:dyDescent="0.45">
      <c r="C20" s="221"/>
      <c r="D20" s="221"/>
      <c r="E20" s="226" t="s">
        <v>253</v>
      </c>
      <c r="F20" s="226"/>
      <c r="G20" s="240" t="s">
        <v>34</v>
      </c>
      <c r="H20" s="222">
        <v>2773</v>
      </c>
      <c r="I20" s="222">
        <v>350</v>
      </c>
      <c r="J20" s="222">
        <v>0</v>
      </c>
      <c r="K20" s="222">
        <f t="shared" si="0"/>
        <v>2423</v>
      </c>
      <c r="L20" s="216"/>
      <c r="M20" s="8"/>
      <c r="N20" s="8"/>
    </row>
    <row r="21" spans="3:16" ht="20.149999999999999" customHeight="1" x14ac:dyDescent="0.75">
      <c r="C21" s="221"/>
      <c r="D21" s="221"/>
      <c r="E21" s="226" t="s">
        <v>253</v>
      </c>
      <c r="F21" s="226"/>
      <c r="G21" s="240">
        <v>23</v>
      </c>
      <c r="H21" s="265">
        <v>1791</v>
      </c>
      <c r="I21" s="266">
        <v>600</v>
      </c>
      <c r="J21" s="266">
        <v>0</v>
      </c>
      <c r="K21" s="266">
        <f t="shared" si="0"/>
        <v>1191</v>
      </c>
      <c r="L21" s="216"/>
      <c r="M21" s="8"/>
      <c r="N21" s="8"/>
      <c r="O21" s="272"/>
    </row>
    <row r="22" spans="3:16" ht="20.149999999999999" hidden="1" customHeight="1" x14ac:dyDescent="0.45">
      <c r="C22" s="221"/>
      <c r="D22" s="221"/>
      <c r="E22" s="336" t="s">
        <v>67</v>
      </c>
      <c r="F22" s="226"/>
      <c r="G22" s="240">
        <v>18</v>
      </c>
      <c r="H22" s="337">
        <v>0</v>
      </c>
      <c r="I22" s="222">
        <v>0</v>
      </c>
      <c r="J22" s="222">
        <v>0</v>
      </c>
      <c r="K22" s="222">
        <f>H22-I22</f>
        <v>0</v>
      </c>
      <c r="L22" s="216"/>
      <c r="M22" s="8"/>
      <c r="N22" s="8"/>
      <c r="O22" s="272"/>
    </row>
    <row r="23" spans="3:16" ht="20.149999999999999" hidden="1" customHeight="1" x14ac:dyDescent="0.45">
      <c r="C23" s="221"/>
      <c r="D23" s="221"/>
      <c r="E23" s="336" t="s">
        <v>67</v>
      </c>
      <c r="F23" s="226"/>
      <c r="G23" s="240">
        <v>19</v>
      </c>
      <c r="H23" s="337">
        <v>0</v>
      </c>
      <c r="I23" s="222">
        <v>0</v>
      </c>
      <c r="J23" s="222">
        <v>0</v>
      </c>
      <c r="K23" s="222">
        <f>H23-I23</f>
        <v>0</v>
      </c>
      <c r="L23" s="216"/>
      <c r="M23" s="8"/>
      <c r="N23" s="8"/>
      <c r="O23" s="272"/>
    </row>
    <row r="24" spans="3:16" ht="20.149999999999999" hidden="1" customHeight="1" x14ac:dyDescent="0.45">
      <c r="C24" s="221"/>
      <c r="D24" s="221"/>
      <c r="E24" s="226" t="s">
        <v>67</v>
      </c>
      <c r="F24" s="226"/>
      <c r="G24" s="240">
        <v>20</v>
      </c>
      <c r="H24" s="223">
        <v>0</v>
      </c>
      <c r="I24" s="222">
        <v>0</v>
      </c>
      <c r="J24" s="222">
        <v>0</v>
      </c>
      <c r="K24" s="222">
        <f>H24-I24</f>
        <v>0</v>
      </c>
      <c r="L24" s="216"/>
      <c r="M24" s="8"/>
      <c r="N24" s="8"/>
    </row>
    <row r="25" spans="3:16" ht="20.149999999999999" hidden="1" customHeight="1" x14ac:dyDescent="0.75">
      <c r="C25" s="221"/>
      <c r="D25" s="221"/>
      <c r="E25" s="226" t="s">
        <v>67</v>
      </c>
      <c r="F25" s="226"/>
      <c r="G25" s="240">
        <v>27</v>
      </c>
      <c r="H25" s="265">
        <v>0</v>
      </c>
      <c r="I25" s="266">
        <v>0</v>
      </c>
      <c r="J25" s="266">
        <v>0</v>
      </c>
      <c r="K25" s="266">
        <f>H25-I25</f>
        <v>0</v>
      </c>
      <c r="L25" s="216"/>
      <c r="M25" s="44" t="s">
        <v>245</v>
      </c>
      <c r="N25" s="8"/>
      <c r="O25" t="s">
        <v>355</v>
      </c>
    </row>
    <row r="26" spans="3:16" ht="15" customHeight="1" x14ac:dyDescent="0.45">
      <c r="C26" s="221"/>
      <c r="D26" s="221"/>
      <c r="E26" s="226"/>
      <c r="F26" s="226"/>
      <c r="G26" s="240"/>
      <c r="H26" s="223"/>
      <c r="I26" s="222"/>
      <c r="J26" s="222"/>
      <c r="K26" s="222"/>
      <c r="L26" s="216"/>
      <c r="M26" s="44"/>
      <c r="N26" s="8"/>
    </row>
    <row r="27" spans="3:16" ht="15" customHeight="1" x14ac:dyDescent="0.45">
      <c r="C27" s="221"/>
      <c r="D27" s="221"/>
      <c r="E27" s="238" t="s">
        <v>65</v>
      </c>
      <c r="F27" s="221"/>
      <c r="G27" s="226"/>
      <c r="H27" s="288">
        <f>SUM(H18:H25)</f>
        <v>8148</v>
      </c>
      <c r="I27" s="296">
        <f>SUM(I18:I25)</f>
        <v>1350</v>
      </c>
      <c r="J27" s="288">
        <f>SUM(J18:J25)</f>
        <v>0</v>
      </c>
      <c r="K27" s="248">
        <f>SUM(K18:K25)</f>
        <v>6798</v>
      </c>
      <c r="L27" s="218"/>
      <c r="M27" s="44" t="s">
        <v>245</v>
      </c>
      <c r="N27" s="8"/>
      <c r="O27" s="7">
        <v>7954</v>
      </c>
      <c r="P27" s="135">
        <f>K27-O27</f>
        <v>-1156</v>
      </c>
    </row>
    <row r="28" spans="3:16" ht="15" customHeight="1" x14ac:dyDescent="0.45">
      <c r="C28" s="221"/>
      <c r="D28" s="221"/>
      <c r="E28" s="221"/>
      <c r="F28" s="221"/>
      <c r="G28" s="226"/>
      <c r="H28" s="224"/>
      <c r="I28" s="222"/>
      <c r="J28" s="222"/>
      <c r="K28" s="222"/>
      <c r="L28" s="216"/>
      <c r="M28" s="44"/>
      <c r="N28" s="8"/>
      <c r="P28" t="s">
        <v>245</v>
      </c>
    </row>
    <row r="29" spans="3:16" ht="15.75" customHeight="1" x14ac:dyDescent="0.45">
      <c r="C29" s="220" t="s">
        <v>245</v>
      </c>
      <c r="D29" s="221"/>
      <c r="E29" s="221"/>
      <c r="F29" s="221"/>
      <c r="G29" s="226"/>
      <c r="H29" s="224"/>
      <c r="I29" s="222"/>
      <c r="J29" s="222"/>
      <c r="K29" s="248" t="s">
        <v>245</v>
      </c>
      <c r="L29" s="216"/>
      <c r="M29" s="44"/>
      <c r="N29" s="8"/>
      <c r="P29" s="135" t="s">
        <v>245</v>
      </c>
    </row>
    <row r="30" spans="3:16" ht="15" customHeight="1" x14ac:dyDescent="0.45">
      <c r="C30" s="221"/>
      <c r="D30" s="221"/>
      <c r="E30" s="221"/>
      <c r="F30" s="221"/>
      <c r="G30" s="226"/>
      <c r="H30" s="224"/>
      <c r="I30" s="222"/>
      <c r="J30" s="222"/>
      <c r="K30" s="222"/>
      <c r="L30" s="216"/>
      <c r="M30" s="44"/>
      <c r="N30" s="8"/>
    </row>
    <row r="31" spans="3:16" ht="15" customHeight="1" x14ac:dyDescent="0.45">
      <c r="C31" s="220" t="s">
        <v>748</v>
      </c>
      <c r="D31" s="220"/>
      <c r="E31" s="220"/>
      <c r="F31" s="220"/>
      <c r="G31" s="220"/>
      <c r="H31" s="220"/>
      <c r="I31" s="220"/>
      <c r="J31" s="297"/>
      <c r="K31" s="219" t="s">
        <v>245</v>
      </c>
      <c r="L31" s="219"/>
      <c r="M31" s="225" t="s">
        <v>245</v>
      </c>
      <c r="N31" s="8"/>
    </row>
    <row r="32" spans="3:16" ht="15" customHeight="1" x14ac:dyDescent="0.45">
      <c r="C32" s="220"/>
      <c r="D32" s="221"/>
      <c r="E32" s="221"/>
      <c r="F32" s="221"/>
      <c r="G32" s="221"/>
      <c r="H32" s="226"/>
      <c r="I32" s="230"/>
      <c r="J32" s="230"/>
      <c r="K32" s="219"/>
      <c r="L32" s="219"/>
      <c r="M32" s="225"/>
      <c r="N32" s="8"/>
    </row>
    <row r="33" spans="3:16" ht="22.95" customHeight="1" x14ac:dyDescent="0.85">
      <c r="C33" s="220"/>
      <c r="D33" s="221"/>
      <c r="E33" s="220" t="s">
        <v>674</v>
      </c>
      <c r="F33" s="220"/>
      <c r="G33" s="220"/>
      <c r="H33" s="220"/>
      <c r="I33" s="230"/>
      <c r="J33" s="230"/>
      <c r="K33" s="274">
        <f>'Feb-2025-Sched A'!I68</f>
        <v>6156</v>
      </c>
      <c r="L33" s="219"/>
      <c r="M33" s="264">
        <f>K33+K27</f>
        <v>12954</v>
      </c>
      <c r="N33" s="8"/>
      <c r="O33" s="304">
        <v>12450</v>
      </c>
      <c r="P33" s="135"/>
    </row>
    <row r="34" spans="3:16" ht="15" customHeight="1" x14ac:dyDescent="0.75">
      <c r="C34" s="242"/>
      <c r="D34" s="236"/>
      <c r="E34" s="243"/>
      <c r="F34" s="236"/>
      <c r="G34" s="226"/>
      <c r="H34" s="226"/>
      <c r="I34" s="226"/>
      <c r="J34" s="226"/>
      <c r="K34" s="222"/>
      <c r="L34" s="222"/>
      <c r="M34" s="244"/>
      <c r="N34" s="8"/>
    </row>
    <row r="35" spans="3:16" ht="15" hidden="1" customHeight="1" x14ac:dyDescent="0.45">
      <c r="C35" s="220" t="s">
        <v>442</v>
      </c>
      <c r="D35" s="220"/>
      <c r="E35" s="221"/>
      <c r="F35" s="221"/>
      <c r="G35" s="221"/>
      <c r="H35" s="221"/>
      <c r="I35" s="221"/>
      <c r="J35" s="221"/>
      <c r="K35" s="221"/>
      <c r="L35" s="221"/>
      <c r="M35" s="353"/>
      <c r="N35" s="8"/>
      <c r="P35" s="135"/>
    </row>
    <row r="36" spans="3:16" ht="18" hidden="1" customHeight="1" x14ac:dyDescent="0.45">
      <c r="C36" s="220"/>
      <c r="D36" s="220"/>
      <c r="E36" s="505" t="s">
        <v>767</v>
      </c>
      <c r="F36" s="505"/>
      <c r="G36" s="505"/>
      <c r="H36" s="221"/>
      <c r="I36" s="221"/>
      <c r="J36" s="221"/>
      <c r="K36" s="355">
        <v>0</v>
      </c>
      <c r="L36" s="221"/>
      <c r="M36" s="353"/>
      <c r="N36" s="8"/>
      <c r="P36" s="135"/>
    </row>
    <row r="37" spans="3:16" ht="18" hidden="1" customHeight="1" x14ac:dyDescent="0.55000000000000004">
      <c r="C37" s="220"/>
      <c r="D37" s="220"/>
      <c r="E37" s="505" t="s">
        <v>768</v>
      </c>
      <c r="F37" s="505"/>
      <c r="G37" s="505"/>
      <c r="H37" s="221"/>
      <c r="I37" s="221"/>
      <c r="J37" s="221"/>
      <c r="K37" s="413">
        <v>0</v>
      </c>
      <c r="L37" s="221"/>
      <c r="M37" s="300">
        <f>SUM(K36:K37)</f>
        <v>0</v>
      </c>
      <c r="N37" s="8"/>
    </row>
    <row r="38" spans="3:16" ht="20.149999999999999" customHeight="1" x14ac:dyDescent="0.45">
      <c r="C38" s="220" t="s">
        <v>313</v>
      </c>
      <c r="D38" s="220"/>
      <c r="E38" s="221"/>
      <c r="F38" s="221"/>
      <c r="G38" s="221"/>
      <c r="H38" s="221"/>
      <c r="I38" s="221"/>
      <c r="J38" s="221"/>
      <c r="K38" s="221"/>
      <c r="L38" s="247" t="s">
        <v>326</v>
      </c>
      <c r="M38" s="219">
        <f>+M33+M10+M37</f>
        <v>60535.220000000016</v>
      </c>
      <c r="N38" s="8"/>
      <c r="O38" t="s">
        <v>245</v>
      </c>
    </row>
    <row r="39" spans="3:16" ht="13.5" customHeight="1" x14ac:dyDescent="0.45">
      <c r="C39" s="220"/>
      <c r="D39" s="220"/>
      <c r="E39" s="221"/>
      <c r="F39" s="221"/>
      <c r="G39" s="221"/>
      <c r="H39" s="221"/>
      <c r="I39" s="221"/>
      <c r="J39" s="221"/>
      <c r="K39" s="221"/>
      <c r="L39" s="221"/>
      <c r="M39" s="221"/>
      <c r="N39" s="8"/>
    </row>
    <row r="40" spans="3:16" ht="13.5" customHeight="1" x14ac:dyDescent="0.45">
      <c r="C40" s="220"/>
      <c r="D40" s="220"/>
      <c r="E40" s="221"/>
      <c r="F40" s="221"/>
      <c r="G40" s="221"/>
      <c r="H40" s="221"/>
      <c r="I40" s="221"/>
      <c r="J40" s="221"/>
      <c r="K40" s="221"/>
      <c r="L40" s="221"/>
      <c r="M40" s="221"/>
      <c r="N40" s="8"/>
    </row>
    <row r="41" spans="3:16" ht="13.5" customHeight="1" x14ac:dyDescent="0.45">
      <c r="C41" s="220" t="s">
        <v>793</v>
      </c>
      <c r="D41" s="220"/>
      <c r="E41" s="221"/>
      <c r="F41" s="221"/>
      <c r="G41" s="221"/>
      <c r="H41" s="221"/>
      <c r="I41" s="221"/>
      <c r="J41" s="221"/>
      <c r="K41" s="221"/>
      <c r="L41" s="221"/>
      <c r="M41" s="221"/>
      <c r="N41" s="8"/>
    </row>
    <row r="42" spans="3:16" ht="15" customHeight="1" x14ac:dyDescent="0.45">
      <c r="C42" s="221" t="s">
        <v>245</v>
      </c>
      <c r="D42" s="221"/>
      <c r="E42" s="221" t="s">
        <v>245</v>
      </c>
      <c r="F42" s="221"/>
      <c r="G42" s="221"/>
      <c r="H42" s="221"/>
      <c r="I42" s="221"/>
      <c r="J42" s="221"/>
      <c r="K42" s="221"/>
      <c r="L42" s="221"/>
      <c r="M42" s="221"/>
      <c r="N42" s="8"/>
    </row>
    <row r="43" spans="3:16" ht="15" customHeight="1" x14ac:dyDescent="0.45">
      <c r="C43" s="239" t="s">
        <v>5</v>
      </c>
      <c r="D43" s="226"/>
      <c r="E43" s="226" t="s">
        <v>257</v>
      </c>
      <c r="F43" s="226"/>
      <c r="G43" s="487" t="s">
        <v>373</v>
      </c>
      <c r="H43" s="487"/>
      <c r="I43" s="487"/>
      <c r="J43" s="236"/>
      <c r="K43" s="236" t="s">
        <v>123</v>
      </c>
      <c r="L43" s="221"/>
      <c r="M43" s="226" t="s">
        <v>245</v>
      </c>
      <c r="N43" s="19"/>
    </row>
    <row r="44" spans="3:16" ht="15" customHeight="1" x14ac:dyDescent="0.45">
      <c r="C44" s="226"/>
      <c r="D44" s="226"/>
      <c r="E44" s="226"/>
      <c r="F44" s="226"/>
      <c r="G44" s="221"/>
      <c r="H44" s="221"/>
      <c r="I44" s="221"/>
      <c r="J44" s="221"/>
      <c r="K44" s="221"/>
      <c r="L44" s="221"/>
      <c r="M44" s="226"/>
      <c r="N44" s="19"/>
    </row>
    <row r="45" spans="3:16" ht="20.149999999999999" customHeight="1" x14ac:dyDescent="0.45">
      <c r="C45" s="292" t="s">
        <v>795</v>
      </c>
      <c r="D45" s="226"/>
      <c r="E45" s="226"/>
      <c r="F45" s="226"/>
      <c r="G45" s="228" t="s">
        <v>797</v>
      </c>
      <c r="H45" s="221"/>
      <c r="I45" s="221"/>
      <c r="J45" s="221"/>
      <c r="K45" s="222">
        <f>8170+9030</f>
        <v>17200</v>
      </c>
      <c r="L45" s="221"/>
      <c r="M45" s="226"/>
      <c r="N45" s="19"/>
    </row>
    <row r="46" spans="3:16" ht="20.149999999999999" hidden="1" customHeight="1" x14ac:dyDescent="0.45">
      <c r="C46" s="292"/>
      <c r="D46" s="226"/>
      <c r="E46" s="226"/>
      <c r="F46" s="226"/>
      <c r="G46" s="228"/>
      <c r="H46" s="221" t="s">
        <v>796</v>
      </c>
      <c r="I46" s="221"/>
      <c r="J46" s="221"/>
      <c r="K46" s="222"/>
      <c r="L46" s="221"/>
      <c r="M46" s="226"/>
      <c r="N46" s="19"/>
    </row>
    <row r="47" spans="3:16" ht="20.149999999999999" customHeight="1" x14ac:dyDescent="0.45">
      <c r="C47" s="292" t="s">
        <v>795</v>
      </c>
      <c r="D47" s="226"/>
      <c r="E47" s="226"/>
      <c r="F47" s="226"/>
      <c r="G47" s="228" t="s">
        <v>797</v>
      </c>
      <c r="H47" s="221"/>
      <c r="I47" s="221"/>
      <c r="J47" s="221"/>
      <c r="K47" s="222">
        <f>13500+8506</f>
        <v>22006</v>
      </c>
      <c r="L47" s="221"/>
      <c r="M47" s="226"/>
      <c r="N47" s="19"/>
    </row>
    <row r="48" spans="3:16" ht="20.149999999999999" hidden="1" customHeight="1" x14ac:dyDescent="0.45">
      <c r="C48" s="292" t="s">
        <v>245</v>
      </c>
      <c r="D48" s="226"/>
      <c r="E48" s="226"/>
      <c r="F48" s="226"/>
      <c r="G48" s="228"/>
      <c r="H48" s="221" t="s">
        <v>798</v>
      </c>
      <c r="I48" s="221"/>
      <c r="J48" s="221"/>
      <c r="K48" s="222"/>
      <c r="L48" s="221"/>
      <c r="M48" s="226"/>
      <c r="N48" s="19"/>
    </row>
    <row r="49" spans="3:16" ht="20.149999999999999" customHeight="1" x14ac:dyDescent="0.45">
      <c r="C49" s="292" t="s">
        <v>799</v>
      </c>
      <c r="D49" s="226"/>
      <c r="E49" s="226"/>
      <c r="F49" s="226"/>
      <c r="G49" s="228" t="s">
        <v>807</v>
      </c>
      <c r="H49" s="221"/>
      <c r="I49" s="221"/>
      <c r="J49" s="221"/>
      <c r="K49" s="222">
        <v>2100</v>
      </c>
      <c r="L49" s="221"/>
      <c r="M49" s="226"/>
      <c r="N49" s="19"/>
    </row>
    <row r="50" spans="3:16" ht="20.149999999999999" customHeight="1" x14ac:dyDescent="0.45">
      <c r="C50" s="292" t="s">
        <v>800</v>
      </c>
      <c r="D50" s="226"/>
      <c r="E50" s="226"/>
      <c r="F50" s="226"/>
      <c r="G50" s="228" t="s">
        <v>751</v>
      </c>
      <c r="H50" s="221"/>
      <c r="I50" s="221"/>
      <c r="J50" s="221"/>
      <c r="K50" s="222">
        <v>211.65</v>
      </c>
      <c r="L50" s="221"/>
      <c r="M50" s="226"/>
      <c r="N50" s="19"/>
    </row>
    <row r="51" spans="3:16" ht="20.149999999999999" customHeight="1" x14ac:dyDescent="0.45">
      <c r="C51" s="292" t="s">
        <v>801</v>
      </c>
      <c r="D51" s="226"/>
      <c r="E51" s="226"/>
      <c r="F51" s="226"/>
      <c r="G51" s="228" t="s">
        <v>814</v>
      </c>
      <c r="H51" s="221"/>
      <c r="I51" s="221"/>
      <c r="J51" s="221"/>
      <c r="K51" s="222">
        <v>4000</v>
      </c>
      <c r="L51" s="221"/>
      <c r="M51" s="226"/>
      <c r="N51" s="19"/>
    </row>
    <row r="52" spans="3:16" ht="20.149999999999999" customHeight="1" x14ac:dyDescent="0.45">
      <c r="C52" s="292" t="s">
        <v>804</v>
      </c>
      <c r="D52" s="226"/>
      <c r="E52" s="226"/>
      <c r="F52" s="226"/>
      <c r="G52" s="228" t="s">
        <v>802</v>
      </c>
      <c r="H52" s="221"/>
      <c r="I52" s="221"/>
      <c r="J52" s="221"/>
      <c r="K52" s="222">
        <v>2588.0500000000002</v>
      </c>
      <c r="L52" s="221"/>
      <c r="M52" s="226"/>
      <c r="N52" s="19"/>
    </row>
    <row r="53" spans="3:16" ht="20.149999999999999" customHeight="1" x14ac:dyDescent="0.45">
      <c r="C53" s="292" t="s">
        <v>804</v>
      </c>
      <c r="D53" s="226"/>
      <c r="E53" s="226"/>
      <c r="F53" s="226"/>
      <c r="G53" s="228" t="s">
        <v>803</v>
      </c>
      <c r="H53" s="221"/>
      <c r="I53" s="221"/>
      <c r="J53" s="221"/>
      <c r="K53" s="222">
        <v>550</v>
      </c>
      <c r="L53" s="221"/>
      <c r="M53" s="226"/>
      <c r="N53" s="19"/>
    </row>
    <row r="54" spans="3:16" ht="20.149999999999999" customHeight="1" x14ac:dyDescent="0.45">
      <c r="C54" s="292" t="s">
        <v>805</v>
      </c>
      <c r="D54" s="226"/>
      <c r="E54" s="226"/>
      <c r="F54" s="226"/>
      <c r="G54" s="228" t="s">
        <v>806</v>
      </c>
      <c r="H54" s="221"/>
      <c r="I54" s="221"/>
      <c r="J54" s="221"/>
      <c r="K54" s="222">
        <v>500</v>
      </c>
      <c r="L54" s="221"/>
      <c r="M54" s="226"/>
      <c r="N54" s="19"/>
    </row>
    <row r="55" spans="3:16" ht="20.149999999999999" customHeight="1" x14ac:dyDescent="0.45">
      <c r="C55" s="292" t="s">
        <v>815</v>
      </c>
      <c r="D55" s="226"/>
      <c r="E55" s="226"/>
      <c r="F55" s="226"/>
      <c r="G55" s="228" t="s">
        <v>809</v>
      </c>
      <c r="H55" s="221"/>
      <c r="I55" s="221"/>
      <c r="J55" s="221"/>
      <c r="K55" s="222">
        <v>802.16</v>
      </c>
      <c r="L55" s="221"/>
      <c r="M55" s="226"/>
      <c r="N55" s="19"/>
    </row>
    <row r="56" spans="3:16" ht="20.149999999999999" customHeight="1" x14ac:dyDescent="0.45">
      <c r="C56" s="292" t="s">
        <v>815</v>
      </c>
      <c r="D56" s="226"/>
      <c r="E56" s="226"/>
      <c r="F56" s="226"/>
      <c r="G56" s="228" t="s">
        <v>810</v>
      </c>
      <c r="H56" s="221"/>
      <c r="I56" s="221"/>
      <c r="J56" s="221"/>
      <c r="K56" s="222">
        <v>862</v>
      </c>
      <c r="L56" s="221"/>
      <c r="M56" s="226"/>
      <c r="N56" s="19"/>
    </row>
    <row r="57" spans="3:16" ht="20.149999999999999" customHeight="1" x14ac:dyDescent="0.45">
      <c r="C57" s="292" t="s">
        <v>816</v>
      </c>
      <c r="D57" s="226"/>
      <c r="E57" s="226"/>
      <c r="F57" s="226"/>
      <c r="G57" s="228" t="s">
        <v>811</v>
      </c>
      <c r="H57" s="221"/>
      <c r="I57" s="221"/>
      <c r="J57" s="221"/>
      <c r="K57" s="222">
        <v>600</v>
      </c>
      <c r="L57" s="221"/>
      <c r="M57" s="226"/>
      <c r="N57" s="19"/>
    </row>
    <row r="58" spans="3:16" ht="20.149999999999999" customHeight="1" x14ac:dyDescent="0.45">
      <c r="C58" s="292" t="s">
        <v>817</v>
      </c>
      <c r="D58" s="226"/>
      <c r="E58" s="226"/>
      <c r="F58" s="226"/>
      <c r="G58" s="228" t="s">
        <v>812</v>
      </c>
      <c r="H58" s="221"/>
      <c r="I58" s="221"/>
      <c r="J58" s="221"/>
      <c r="K58" s="222">
        <v>750</v>
      </c>
      <c r="L58" s="221"/>
      <c r="M58" s="226"/>
      <c r="N58" s="19"/>
    </row>
    <row r="59" spans="3:16" ht="20.149999999999999" customHeight="1" x14ac:dyDescent="0.85">
      <c r="C59" s="323" t="s">
        <v>818</v>
      </c>
      <c r="D59" s="226"/>
      <c r="E59" s="226"/>
      <c r="F59" s="226"/>
      <c r="G59" s="286" t="s">
        <v>813</v>
      </c>
      <c r="H59" s="287"/>
      <c r="I59" s="287"/>
      <c r="J59" s="287"/>
      <c r="K59" s="266">
        <v>1187</v>
      </c>
      <c r="L59" s="221"/>
      <c r="M59" s="410">
        <f>SUM(K45:K59)</f>
        <v>53356.860000000008</v>
      </c>
      <c r="N59" s="19"/>
    </row>
    <row r="60" spans="3:16" ht="20.149999999999999" customHeight="1" x14ac:dyDescent="0.75">
      <c r="C60" s="292" t="s">
        <v>245</v>
      </c>
      <c r="D60" s="226"/>
      <c r="E60" s="226"/>
      <c r="F60" s="226"/>
      <c r="G60" s="228"/>
      <c r="H60" s="221"/>
      <c r="I60" s="221"/>
      <c r="J60" s="221"/>
      <c r="K60" s="222"/>
      <c r="L60" s="222"/>
      <c r="M60" s="266"/>
      <c r="N60" s="19"/>
    </row>
    <row r="61" spans="3:16" ht="20.149999999999999" customHeight="1" x14ac:dyDescent="0.45">
      <c r="C61" s="220" t="s">
        <v>327</v>
      </c>
      <c r="D61" s="220"/>
      <c r="E61" s="221"/>
      <c r="F61" s="221"/>
      <c r="G61" s="221"/>
      <c r="H61" s="221"/>
      <c r="I61" s="221"/>
      <c r="J61" s="221"/>
      <c r="K61" s="221"/>
      <c r="L61" s="221"/>
      <c r="M61" s="231">
        <f>M38-M59</f>
        <v>7178.3600000000079</v>
      </c>
      <c r="N61" s="44"/>
      <c r="O61" t="s">
        <v>245</v>
      </c>
      <c r="P61" s="7" t="s">
        <v>245</v>
      </c>
    </row>
    <row r="62" spans="3:16" ht="13.5" customHeight="1" x14ac:dyDescent="0.45">
      <c r="C62" s="221"/>
      <c r="D62" s="221"/>
      <c r="E62" s="221"/>
      <c r="F62" s="221"/>
      <c r="G62" s="221"/>
      <c r="H62" s="221"/>
      <c r="I62" s="221"/>
      <c r="J62" s="221"/>
      <c r="K62" s="221"/>
      <c r="L62" s="221"/>
      <c r="M62" s="225"/>
      <c r="N62" s="44"/>
    </row>
    <row r="63" spans="3:16" ht="20.149999999999999" customHeight="1" x14ac:dyDescent="0.45">
      <c r="C63" s="220" t="s">
        <v>791</v>
      </c>
      <c r="D63" s="221"/>
      <c r="E63" s="221"/>
      <c r="F63" s="221"/>
      <c r="G63" s="221"/>
      <c r="H63" s="221"/>
      <c r="I63" s="221"/>
      <c r="J63" s="221"/>
      <c r="K63" s="221"/>
      <c r="L63" s="221"/>
      <c r="M63" s="393">
        <v>0</v>
      </c>
      <c r="N63" s="44"/>
    </row>
    <row r="64" spans="3:16" ht="20.149999999999999" hidden="1" customHeight="1" x14ac:dyDescent="0.85">
      <c r="C64" s="220"/>
      <c r="D64" s="221"/>
      <c r="E64" s="505" t="s">
        <v>769</v>
      </c>
      <c r="F64" s="505"/>
      <c r="G64" s="505"/>
      <c r="H64" s="221"/>
      <c r="I64" s="221"/>
      <c r="J64" s="221"/>
      <c r="K64" s="411">
        <v>0</v>
      </c>
      <c r="L64" s="221"/>
      <c r="M64" s="264"/>
      <c r="N64" s="44"/>
    </row>
    <row r="65" spans="2:19" ht="20.149999999999999" hidden="1" customHeight="1" x14ac:dyDescent="0.85">
      <c r="C65" s="220"/>
      <c r="D65" s="221"/>
      <c r="E65" s="505" t="s">
        <v>769</v>
      </c>
      <c r="F65" s="505"/>
      <c r="G65" s="505"/>
      <c r="H65" s="221"/>
      <c r="I65" s="221"/>
      <c r="J65" s="221"/>
      <c r="K65" s="412">
        <v>0</v>
      </c>
      <c r="L65" s="221"/>
      <c r="M65" s="264">
        <f>SUM(K64:K65)</f>
        <v>0</v>
      </c>
      <c r="N65" s="44"/>
      <c r="O65">
        <v>12450</v>
      </c>
      <c r="P65" s="135">
        <f>K65-O65</f>
        <v>-12450</v>
      </c>
    </row>
    <row r="66" spans="2:19" ht="13.5" customHeight="1" x14ac:dyDescent="0.45">
      <c r="C66" s="221"/>
      <c r="D66" s="221"/>
      <c r="E66" s="221"/>
      <c r="F66" s="221"/>
      <c r="G66" s="221"/>
      <c r="H66" s="221"/>
      <c r="I66" s="221"/>
      <c r="J66" s="221"/>
      <c r="K66" s="221"/>
      <c r="L66" s="221"/>
      <c r="M66" s="225"/>
      <c r="N66" s="44"/>
    </row>
    <row r="67" spans="2:19" ht="24.45" customHeight="1" thickBot="1" x14ac:dyDescent="0.5">
      <c r="C67" s="220" t="s">
        <v>792</v>
      </c>
      <c r="D67" s="221"/>
      <c r="E67" s="221"/>
      <c r="F67" s="221"/>
      <c r="G67" s="221"/>
      <c r="H67" s="221"/>
      <c r="I67" s="221"/>
      <c r="J67" s="221"/>
      <c r="K67" s="221"/>
      <c r="L67" s="245" t="s">
        <v>326</v>
      </c>
      <c r="M67" s="232">
        <f>M61-M63</f>
        <v>7178.3600000000079</v>
      </c>
      <c r="N67" s="8"/>
      <c r="O67" s="2">
        <v>675.68</v>
      </c>
      <c r="P67" s="135">
        <f>M67+O67</f>
        <v>7854.0400000000081</v>
      </c>
      <c r="Q67" s="135">
        <f>1156+5000</f>
        <v>6156</v>
      </c>
      <c r="R67" s="135">
        <f>P67-Q67</f>
        <v>1698.0400000000081</v>
      </c>
      <c r="S67" s="135"/>
    </row>
    <row r="68" spans="2:19" ht="13.5" customHeight="1" thickTop="1" x14ac:dyDescent="0.45">
      <c r="C68" s="221"/>
      <c r="D68" s="221"/>
      <c r="E68" s="220"/>
      <c r="F68" s="220"/>
      <c r="G68" s="221"/>
      <c r="H68" s="221"/>
      <c r="I68" s="221"/>
      <c r="J68" s="221"/>
      <c r="K68" s="221"/>
      <c r="L68" s="221"/>
      <c r="M68" s="221"/>
      <c r="N68" s="8"/>
      <c r="O68" s="270"/>
    </row>
    <row r="69" spans="2:19" ht="13.5" customHeight="1" thickBot="1" x14ac:dyDescent="0.45">
      <c r="C69" s="8"/>
      <c r="D69" s="8"/>
      <c r="E69" s="13"/>
      <c r="F69" s="13"/>
      <c r="G69" s="8"/>
      <c r="H69" s="8"/>
      <c r="I69" s="8"/>
      <c r="J69" s="8"/>
      <c r="K69" s="8"/>
      <c r="L69" s="8"/>
      <c r="M69" s="8"/>
      <c r="N69" s="8"/>
    </row>
    <row r="70" spans="2:19" ht="13.5" customHeight="1" x14ac:dyDescent="0.45">
      <c r="B70" s="251"/>
      <c r="C70" s="493" t="s">
        <v>788</v>
      </c>
      <c r="D70" s="493"/>
      <c r="E70" s="493"/>
      <c r="F70" s="493"/>
      <c r="G70" s="493"/>
      <c r="H70" s="493"/>
      <c r="I70" s="252"/>
      <c r="J70" s="252"/>
      <c r="K70" s="252"/>
      <c r="L70" s="483" t="s">
        <v>326</v>
      </c>
      <c r="M70" s="479">
        <v>22929.54</v>
      </c>
      <c r="N70" s="253"/>
    </row>
    <row r="71" spans="2:19" ht="11.15" customHeight="1" x14ac:dyDescent="0.4">
      <c r="B71" s="254"/>
      <c r="C71" s="494"/>
      <c r="D71" s="494"/>
      <c r="E71" s="494"/>
      <c r="F71" s="494"/>
      <c r="G71" s="494"/>
      <c r="H71" s="494"/>
      <c r="I71" s="220"/>
      <c r="J71" s="220"/>
      <c r="K71" s="220"/>
      <c r="L71" s="484"/>
      <c r="M71" s="503"/>
      <c r="N71" s="255"/>
    </row>
    <row r="72" spans="2:19" ht="16.2" customHeight="1" x14ac:dyDescent="0.4">
      <c r="B72" s="256"/>
      <c r="C72" s="496" t="s">
        <v>790</v>
      </c>
      <c r="D72" s="496"/>
      <c r="E72" s="496"/>
      <c r="F72" s="496"/>
      <c r="G72" s="496"/>
      <c r="H72" s="496"/>
      <c r="I72" s="233"/>
      <c r="J72" s="233"/>
      <c r="K72" s="307" t="s">
        <v>245</v>
      </c>
      <c r="L72" s="233"/>
      <c r="M72" s="261">
        <v>0</v>
      </c>
      <c r="N72" s="174"/>
    </row>
    <row r="73" spans="2:19" ht="16.2" customHeight="1" thickBot="1" x14ac:dyDescent="0.5">
      <c r="B73" s="254"/>
      <c r="C73" s="497" t="s">
        <v>322</v>
      </c>
      <c r="D73" s="497"/>
      <c r="E73" s="497"/>
      <c r="F73" s="497"/>
      <c r="G73" s="497"/>
      <c r="H73" s="497"/>
      <c r="I73" s="302"/>
      <c r="J73" s="302"/>
      <c r="K73" s="303"/>
      <c r="L73" s="303"/>
      <c r="M73" s="261">
        <f>2.23-0.45</f>
        <v>1.78</v>
      </c>
      <c r="N73" s="255"/>
    </row>
    <row r="74" spans="2:19" ht="16.2" hidden="1" customHeight="1" thickBot="1" x14ac:dyDescent="0.5">
      <c r="B74" s="254"/>
      <c r="C74" s="496" t="s">
        <v>776</v>
      </c>
      <c r="D74" s="496"/>
      <c r="E74" s="496"/>
      <c r="F74" s="496"/>
      <c r="G74" s="496"/>
      <c r="H74" s="496"/>
      <c r="I74" s="221"/>
      <c r="J74" s="221"/>
      <c r="K74" s="230"/>
      <c r="L74" s="230"/>
      <c r="M74" s="262">
        <v>0</v>
      </c>
      <c r="N74" s="255"/>
    </row>
    <row r="75" spans="2:19" ht="13.5" customHeight="1" x14ac:dyDescent="0.4">
      <c r="B75" s="251"/>
      <c r="C75" s="498" t="s">
        <v>789</v>
      </c>
      <c r="D75" s="498"/>
      <c r="E75" s="498"/>
      <c r="F75" s="498"/>
      <c r="G75" s="498"/>
      <c r="H75" s="498"/>
      <c r="I75" s="260"/>
      <c r="J75" s="260"/>
      <c r="K75" s="260"/>
      <c r="L75" s="485" t="s">
        <v>326</v>
      </c>
      <c r="M75" s="477">
        <f>SUM(M70:M73)-M74</f>
        <v>22931.32</v>
      </c>
      <c r="N75" s="253"/>
    </row>
    <row r="76" spans="2:19" ht="13.5" customHeight="1" thickBot="1" x14ac:dyDescent="0.45">
      <c r="B76" s="257"/>
      <c r="C76" s="499"/>
      <c r="D76" s="499"/>
      <c r="E76" s="499"/>
      <c r="F76" s="499"/>
      <c r="G76" s="499"/>
      <c r="H76" s="499"/>
      <c r="I76" s="258"/>
      <c r="J76" s="258"/>
      <c r="K76" s="258"/>
      <c r="L76" s="486"/>
      <c r="M76" s="478"/>
      <c r="N76" s="259"/>
      <c r="O76" s="135">
        <v>22929.54</v>
      </c>
      <c r="P76" s="135">
        <f>M75-O76</f>
        <v>1.7799999999988358</v>
      </c>
    </row>
    <row r="77" spans="2:19" ht="13.5" customHeight="1" x14ac:dyDescent="0.4">
      <c r="C77" s="8"/>
      <c r="D77" s="8"/>
      <c r="E77" s="13"/>
      <c r="F77" s="13"/>
      <c r="G77" s="13"/>
      <c r="H77" s="13"/>
      <c r="I77" s="13"/>
      <c r="J77" s="13"/>
      <c r="K77" s="13"/>
      <c r="L77" s="13"/>
      <c r="M77" s="15" t="s">
        <v>245</v>
      </c>
      <c r="N77" s="8"/>
    </row>
    <row r="78" spans="2:19" ht="13.5" customHeight="1" x14ac:dyDescent="0.4">
      <c r="C78" s="8"/>
      <c r="D78" s="8"/>
      <c r="E78" s="13"/>
      <c r="F78" s="13"/>
      <c r="G78" s="13"/>
      <c r="H78" s="13"/>
      <c r="I78" s="13"/>
      <c r="J78" s="13"/>
      <c r="K78" s="13"/>
      <c r="L78" s="13"/>
      <c r="M78" s="15"/>
      <c r="N78" s="8"/>
    </row>
    <row r="79" spans="2:19" ht="13.5" customHeight="1" x14ac:dyDescent="0.4">
      <c r="C79" s="8"/>
      <c r="D79" s="8"/>
      <c r="E79" s="13"/>
      <c r="F79" s="13"/>
      <c r="G79" s="13"/>
      <c r="H79" s="13"/>
      <c r="I79" s="13"/>
      <c r="J79" s="13"/>
      <c r="K79" s="13"/>
      <c r="L79" s="13"/>
      <c r="M79" s="15"/>
      <c r="N79" s="8"/>
    </row>
    <row r="80" spans="2:19" ht="13.5" customHeight="1" x14ac:dyDescent="0.4">
      <c r="C80" s="237" t="s">
        <v>13</v>
      </c>
      <c r="D80" s="235"/>
      <c r="E80" s="235"/>
      <c r="F80" s="235"/>
      <c r="G80" s="237" t="s">
        <v>82</v>
      </c>
      <c r="H80" s="235"/>
      <c r="I80" s="237" t="s">
        <v>289</v>
      </c>
      <c r="J80" s="237"/>
      <c r="K80" s="235"/>
      <c r="L80" s="235"/>
      <c r="M80" s="235" t="s">
        <v>261</v>
      </c>
      <c r="N80" s="8"/>
    </row>
    <row r="81" spans="3:14" ht="13.5" customHeight="1" x14ac:dyDescent="0.4"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</row>
    <row r="82" spans="3:14" ht="20.149999999999999" customHeight="1" x14ac:dyDescent="0.4">
      <c r="C82" s="234" t="s">
        <v>290</v>
      </c>
      <c r="D82" s="235"/>
      <c r="E82" s="235"/>
      <c r="F82" s="235"/>
      <c r="G82" s="234" t="s">
        <v>14</v>
      </c>
      <c r="H82" s="235"/>
      <c r="I82" s="234" t="s">
        <v>17</v>
      </c>
      <c r="J82" s="234"/>
      <c r="K82" s="235"/>
      <c r="L82" s="235"/>
      <c r="M82" s="234" t="s">
        <v>8</v>
      </c>
      <c r="N82" s="8"/>
    </row>
    <row r="83" spans="3:14" ht="13.5" customHeight="1" x14ac:dyDescent="0.4">
      <c r="C83" s="19" t="s">
        <v>317</v>
      </c>
      <c r="D83" s="8"/>
      <c r="E83" s="8"/>
      <c r="F83" s="8"/>
      <c r="G83" s="19" t="s">
        <v>15</v>
      </c>
      <c r="H83" s="8"/>
      <c r="I83" s="19" t="s">
        <v>292</v>
      </c>
      <c r="J83" s="19"/>
      <c r="K83" s="8"/>
      <c r="L83" s="8"/>
      <c r="M83" s="19" t="s">
        <v>262</v>
      </c>
      <c r="N83" s="8"/>
    </row>
    <row r="84" spans="3:14" ht="13.5" customHeight="1" x14ac:dyDescent="0.4"/>
    <row r="85" spans="3:14" ht="13.5" customHeight="1" x14ac:dyDescent="0.4"/>
    <row r="86" spans="3:14" ht="13.5" customHeight="1" x14ac:dyDescent="0.4"/>
    <row r="87" spans="3:14" ht="13.5" customHeight="1" x14ac:dyDescent="0.4"/>
    <row r="88" spans="3:14" ht="13.5" customHeight="1" x14ac:dyDescent="0.4"/>
    <row r="89" spans="3:14" ht="13.5" customHeight="1" x14ac:dyDescent="0.4"/>
  </sheetData>
  <mergeCells count="21">
    <mergeCell ref="C14:E14"/>
    <mergeCell ref="C16:E16"/>
    <mergeCell ref="E36:G36"/>
    <mergeCell ref="C4:N4"/>
    <mergeCell ref="C5:M5"/>
    <mergeCell ref="C6:M6"/>
    <mergeCell ref="C7:M7"/>
    <mergeCell ref="C8:M8"/>
    <mergeCell ref="M75:M76"/>
    <mergeCell ref="E37:G37"/>
    <mergeCell ref="G43:I43"/>
    <mergeCell ref="E64:G64"/>
    <mergeCell ref="E65:G65"/>
    <mergeCell ref="C72:H72"/>
    <mergeCell ref="C73:H73"/>
    <mergeCell ref="C74:H74"/>
    <mergeCell ref="C75:H76"/>
    <mergeCell ref="L75:L76"/>
    <mergeCell ref="C70:H71"/>
    <mergeCell ref="L70:L71"/>
    <mergeCell ref="M70:M71"/>
  </mergeCells>
  <pageMargins left="0" right="0" top="0" bottom="0" header="0.3" footer="0.3"/>
  <pageSetup paperSize="9" scale="70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AD6A3E-296A-4D22-B27C-468D01F2B804}">
  <dimension ref="B2:P90"/>
  <sheetViews>
    <sheetView topLeftCell="A13" workbookViewId="0">
      <selection activeCell="G34" sqref="G34"/>
    </sheetView>
  </sheetViews>
  <sheetFormatPr defaultRowHeight="14.6" x14ac:dyDescent="0.4"/>
  <cols>
    <col min="1" max="1" width="2.3046875" customWidth="1"/>
    <col min="2" max="2" width="13.3046875" customWidth="1"/>
    <col min="3" max="3" width="4.84375" customWidth="1"/>
    <col min="4" max="4" width="12.3046875" customWidth="1"/>
    <col min="5" max="5" width="1.53515625" customWidth="1"/>
    <col min="6" max="6" width="19.84375" customWidth="1"/>
    <col min="7" max="7" width="22.3046875" customWidth="1"/>
    <col min="8" max="8" width="23.3046875" hidden="1" customWidth="1"/>
    <col min="9" max="9" width="13.69140625" customWidth="1"/>
    <col min="10" max="10" width="12.07421875" customWidth="1"/>
    <col min="11" max="12" width="12.3046875" customWidth="1"/>
    <col min="13" max="13" width="11.53515625" customWidth="1"/>
    <col min="16" max="16" width="12" customWidth="1"/>
  </cols>
  <sheetData>
    <row r="2" spans="2:12" x14ac:dyDescent="0.4">
      <c r="B2" s="246" t="s">
        <v>329</v>
      </c>
    </row>
    <row r="3" spans="2:12" x14ac:dyDescent="0.4">
      <c r="B3" s="246"/>
    </row>
    <row r="4" spans="2:12" x14ac:dyDescent="0.4">
      <c r="B4" s="246"/>
    </row>
    <row r="5" spans="2:12" x14ac:dyDescent="0.4">
      <c r="B5" s="246"/>
    </row>
    <row r="6" spans="2:12" x14ac:dyDescent="0.4">
      <c r="B6" s="246"/>
    </row>
    <row r="7" spans="2:12" ht="14.15" customHeight="1" x14ac:dyDescent="0.4">
      <c r="B7" s="468" t="s">
        <v>0</v>
      </c>
      <c r="C7" s="468"/>
      <c r="D7" s="468"/>
      <c r="E7" s="468"/>
      <c r="F7" s="468"/>
      <c r="G7" s="468"/>
      <c r="H7" s="468"/>
      <c r="I7" s="468"/>
      <c r="J7" s="468"/>
      <c r="K7" s="468"/>
      <c r="L7" s="468"/>
    </row>
    <row r="8" spans="2:12" ht="14.15" customHeight="1" x14ac:dyDescent="0.4">
      <c r="B8" s="19"/>
      <c r="C8" s="19"/>
      <c r="D8" s="19"/>
      <c r="E8" s="19"/>
      <c r="F8" s="19"/>
      <c r="G8" s="19" t="s">
        <v>18</v>
      </c>
      <c r="H8" s="19"/>
      <c r="I8" s="19"/>
      <c r="J8" s="19"/>
      <c r="K8" s="19"/>
      <c r="L8" s="1"/>
    </row>
    <row r="9" spans="2:12" ht="14.15" customHeight="1" x14ac:dyDescent="0.4">
      <c r="B9" s="8"/>
      <c r="C9" s="8"/>
      <c r="D9" s="8"/>
      <c r="E9" s="8"/>
      <c r="F9" s="473" t="s">
        <v>778</v>
      </c>
      <c r="G9" s="473"/>
      <c r="H9" s="473"/>
      <c r="I9" s="473"/>
      <c r="J9" s="473"/>
      <c r="K9" s="8"/>
    </row>
    <row r="10" spans="2:12" ht="14.15" customHeight="1" thickBot="1" x14ac:dyDescent="0.45">
      <c r="B10" s="8"/>
      <c r="C10" s="8"/>
      <c r="D10" s="8"/>
      <c r="E10" s="8"/>
      <c r="F10" s="8"/>
      <c r="G10" s="8"/>
      <c r="H10" s="8"/>
      <c r="I10" s="8"/>
      <c r="J10" s="8"/>
      <c r="K10" s="8"/>
    </row>
    <row r="11" spans="2:12" ht="21.75" customHeight="1" x14ac:dyDescent="0.4">
      <c r="B11" s="308"/>
      <c r="C11" s="309"/>
      <c r="D11" s="310"/>
      <c r="E11" s="309"/>
      <c r="F11" s="311"/>
      <c r="G11" s="500" t="s">
        <v>304</v>
      </c>
      <c r="H11" s="500" t="s">
        <v>299</v>
      </c>
      <c r="I11" s="500" t="s">
        <v>293</v>
      </c>
      <c r="J11" s="502" t="s">
        <v>301</v>
      </c>
      <c r="K11" s="502"/>
      <c r="L11" s="500" t="s">
        <v>296</v>
      </c>
    </row>
    <row r="12" spans="2:12" ht="30" customHeight="1" thickBot="1" x14ac:dyDescent="0.45">
      <c r="B12" s="312" t="s">
        <v>5</v>
      </c>
      <c r="C12" s="313"/>
      <c r="D12" s="314" t="s">
        <v>309</v>
      </c>
      <c r="E12" s="313"/>
      <c r="F12" s="315" t="s">
        <v>1</v>
      </c>
      <c r="G12" s="501"/>
      <c r="H12" s="501"/>
      <c r="I12" s="501"/>
      <c r="J12" s="316" t="s">
        <v>302</v>
      </c>
      <c r="K12" s="317" t="s">
        <v>303</v>
      </c>
      <c r="L12" s="501"/>
    </row>
    <row r="13" spans="2:12" ht="16.2" customHeight="1" x14ac:dyDescent="0.4">
      <c r="B13" s="137" t="s">
        <v>253</v>
      </c>
      <c r="C13" s="19"/>
      <c r="D13" s="155"/>
      <c r="E13" s="19"/>
      <c r="F13" s="170"/>
      <c r="G13" s="110"/>
      <c r="H13" s="110"/>
      <c r="I13" s="157"/>
      <c r="J13" s="178"/>
      <c r="K13" s="183"/>
      <c r="L13" s="186"/>
    </row>
    <row r="14" spans="2:12" ht="16.2" customHeight="1" x14ac:dyDescent="0.4">
      <c r="B14" s="138" t="s">
        <v>30</v>
      </c>
      <c r="C14" s="139" t="s">
        <v>245</v>
      </c>
      <c r="D14" s="140">
        <v>2915</v>
      </c>
      <c r="E14" s="141"/>
      <c r="F14" s="171" t="s">
        <v>754</v>
      </c>
      <c r="G14" s="158">
        <v>100</v>
      </c>
      <c r="H14" s="158"/>
      <c r="I14" s="140"/>
      <c r="J14" s="114"/>
      <c r="K14" s="184" t="s">
        <v>245</v>
      </c>
      <c r="L14" s="163"/>
    </row>
    <row r="15" spans="2:12" ht="16.2" customHeight="1" x14ac:dyDescent="0.4">
      <c r="B15" s="138" t="s">
        <v>30</v>
      </c>
      <c r="C15" s="139"/>
      <c r="D15" s="140">
        <f t="shared" ref="D15:D16" si="0">1+D14</f>
        <v>2916</v>
      </c>
      <c r="E15" s="141"/>
      <c r="F15" s="171" t="s">
        <v>434</v>
      </c>
      <c r="G15" s="158">
        <v>200</v>
      </c>
      <c r="H15" s="158"/>
      <c r="I15" s="140"/>
      <c r="J15" s="114"/>
      <c r="K15" s="184"/>
      <c r="L15" s="163"/>
    </row>
    <row r="16" spans="2:12" ht="16.2" customHeight="1" x14ac:dyDescent="0.4">
      <c r="B16" s="138" t="s">
        <v>30</v>
      </c>
      <c r="C16" s="139"/>
      <c r="D16" s="140">
        <f t="shared" si="0"/>
        <v>2917</v>
      </c>
      <c r="E16" s="141"/>
      <c r="F16" s="171" t="s">
        <v>33</v>
      </c>
      <c r="G16" s="158">
        <v>100</v>
      </c>
      <c r="H16" s="158"/>
      <c r="I16" s="140"/>
      <c r="J16" s="114"/>
      <c r="K16" s="184"/>
      <c r="L16" s="163"/>
    </row>
    <row r="17" spans="2:16" ht="16.2" customHeight="1" x14ac:dyDescent="0.4">
      <c r="B17" s="138" t="s">
        <v>30</v>
      </c>
      <c r="C17" s="139"/>
      <c r="D17" s="140">
        <f>1+D15</f>
        <v>2917</v>
      </c>
      <c r="E17" s="141"/>
      <c r="F17" s="171" t="s">
        <v>403</v>
      </c>
      <c r="G17" s="158">
        <v>100</v>
      </c>
      <c r="H17" s="158"/>
      <c r="I17" s="140"/>
      <c r="J17" s="114"/>
      <c r="K17" s="184"/>
      <c r="L17" s="163"/>
    </row>
    <row r="18" spans="2:16" ht="16.2" customHeight="1" x14ac:dyDescent="0.4">
      <c r="B18" s="138"/>
      <c r="C18" s="139"/>
      <c r="D18" s="140" t="s">
        <v>245</v>
      </c>
      <c r="E18" s="141"/>
      <c r="F18" s="171" t="s">
        <v>386</v>
      </c>
      <c r="G18" s="158">
        <f>500+1156</f>
        <v>1656</v>
      </c>
      <c r="H18" s="158"/>
      <c r="I18" s="140"/>
      <c r="J18" s="114"/>
      <c r="K18" s="184"/>
      <c r="L18" s="163"/>
      <c r="M18" t="s">
        <v>245</v>
      </c>
    </row>
    <row r="19" spans="2:16" ht="18" customHeight="1" x14ac:dyDescent="0.4">
      <c r="B19" s="154" t="s">
        <v>307</v>
      </c>
      <c r="D19" s="111"/>
      <c r="F19" s="109"/>
      <c r="G19" s="161">
        <f>SUM(G14:G18)</f>
        <v>2156</v>
      </c>
      <c r="H19" s="161"/>
      <c r="I19" s="162">
        <f>G19-J19</f>
        <v>1156</v>
      </c>
      <c r="J19" s="114">
        <v>1000</v>
      </c>
      <c r="K19" s="185">
        <v>0</v>
      </c>
      <c r="L19" s="198">
        <f>J19+K19</f>
        <v>1000</v>
      </c>
      <c r="M19" t="s">
        <v>245</v>
      </c>
    </row>
    <row r="20" spans="2:16" ht="16.2" customHeight="1" x14ac:dyDescent="0.4">
      <c r="B20" s="138" t="s">
        <v>29</v>
      </c>
      <c r="C20" s="141"/>
      <c r="D20" s="140">
        <v>2919</v>
      </c>
      <c r="E20" s="141"/>
      <c r="F20" s="171" t="s">
        <v>754</v>
      </c>
      <c r="G20" s="158">
        <v>100</v>
      </c>
      <c r="H20" s="159"/>
      <c r="I20" s="140"/>
      <c r="J20" s="114"/>
      <c r="K20" s="185"/>
      <c r="L20" s="167" t="s">
        <v>245</v>
      </c>
    </row>
    <row r="21" spans="2:16" ht="16.2" customHeight="1" x14ac:dyDescent="0.4">
      <c r="B21" s="138" t="s">
        <v>29</v>
      </c>
      <c r="C21" s="141"/>
      <c r="D21" s="140">
        <f>1+D20</f>
        <v>2920</v>
      </c>
      <c r="E21" s="141"/>
      <c r="F21" s="172" t="s">
        <v>760</v>
      </c>
      <c r="G21" s="275">
        <v>200</v>
      </c>
      <c r="H21" s="159"/>
      <c r="I21" s="140"/>
      <c r="J21" s="114"/>
      <c r="K21" s="185"/>
      <c r="L21" s="167"/>
      <c r="M21" s="272"/>
    </row>
    <row r="22" spans="2:16" ht="16.2" customHeight="1" x14ac:dyDescent="0.4">
      <c r="B22" s="138" t="s">
        <v>29</v>
      </c>
      <c r="C22" s="141"/>
      <c r="D22" s="140">
        <f>1+D21</f>
        <v>2921</v>
      </c>
      <c r="E22" s="141"/>
      <c r="F22" s="172" t="s">
        <v>41</v>
      </c>
      <c r="G22" s="158">
        <v>100</v>
      </c>
      <c r="H22" s="159"/>
      <c r="I22" s="140"/>
      <c r="J22" s="114"/>
      <c r="K22" s="185"/>
      <c r="L22" s="167"/>
    </row>
    <row r="23" spans="2:16" ht="16.2" customHeight="1" x14ac:dyDescent="0.4">
      <c r="B23" s="138" t="s">
        <v>29</v>
      </c>
      <c r="C23" s="141"/>
      <c r="D23" s="140">
        <f>1+D22</f>
        <v>2922</v>
      </c>
      <c r="E23" s="141"/>
      <c r="F23" s="172" t="s">
        <v>779</v>
      </c>
      <c r="G23" s="158">
        <v>100</v>
      </c>
      <c r="H23" s="159"/>
      <c r="I23" s="140"/>
      <c r="J23" s="114"/>
      <c r="K23" s="185"/>
      <c r="L23" s="167"/>
    </row>
    <row r="24" spans="2:16" ht="16.2" customHeight="1" x14ac:dyDescent="0.4">
      <c r="B24" s="138" t="s">
        <v>29</v>
      </c>
      <c r="C24" s="141"/>
      <c r="D24" s="140">
        <f t="shared" ref="D24" si="1">1+D23</f>
        <v>2923</v>
      </c>
      <c r="E24" s="141"/>
      <c r="F24" s="172" t="s">
        <v>205</v>
      </c>
      <c r="G24" s="158">
        <v>100</v>
      </c>
      <c r="H24" s="159"/>
      <c r="I24" s="140"/>
      <c r="J24" s="114"/>
      <c r="K24" s="185"/>
      <c r="L24" s="167"/>
    </row>
    <row r="25" spans="2:16" ht="16.2" customHeight="1" x14ac:dyDescent="0.4">
      <c r="B25" s="154" t="s">
        <v>307</v>
      </c>
      <c r="C25" s="141"/>
      <c r="D25" s="140"/>
      <c r="E25" s="141"/>
      <c r="F25" s="172"/>
      <c r="G25" s="289">
        <f>SUM(G20:G24)</f>
        <v>600</v>
      </c>
      <c r="H25" s="159"/>
      <c r="I25" s="162">
        <f>G25-J25</f>
        <v>0</v>
      </c>
      <c r="J25" s="114">
        <v>600</v>
      </c>
      <c r="K25" s="185">
        <v>400</v>
      </c>
      <c r="L25" s="198">
        <f>J25+K25</f>
        <v>1000</v>
      </c>
    </row>
    <row r="26" spans="2:16" ht="16.2" customHeight="1" x14ac:dyDescent="0.4">
      <c r="B26" s="138">
        <v>16</v>
      </c>
      <c r="C26" s="141"/>
      <c r="D26" s="140">
        <v>2924</v>
      </c>
      <c r="E26" s="141"/>
      <c r="F26" s="172" t="s">
        <v>33</v>
      </c>
      <c r="G26" s="275">
        <v>100</v>
      </c>
      <c r="H26" s="159"/>
      <c r="I26" s="140"/>
      <c r="J26" s="114"/>
      <c r="K26" s="185"/>
      <c r="L26" s="198"/>
      <c r="M26" s="272"/>
    </row>
    <row r="27" spans="2:16" ht="16.2" customHeight="1" x14ac:dyDescent="0.4">
      <c r="B27" s="138">
        <v>16</v>
      </c>
      <c r="C27" s="141"/>
      <c r="D27" s="140">
        <f t="shared" ref="D27:D32" si="2">1+D26</f>
        <v>2925</v>
      </c>
      <c r="E27" s="141"/>
      <c r="F27" s="172" t="s">
        <v>129</v>
      </c>
      <c r="G27" s="275">
        <v>100</v>
      </c>
      <c r="H27" s="159"/>
      <c r="I27" s="140"/>
      <c r="J27" s="114"/>
      <c r="K27" s="185"/>
      <c r="L27" s="198"/>
      <c r="M27" s="272"/>
    </row>
    <row r="28" spans="2:16" ht="16.2" customHeight="1" x14ac:dyDescent="0.4">
      <c r="B28" s="138">
        <v>16</v>
      </c>
      <c r="C28" s="141"/>
      <c r="D28" s="140">
        <f t="shared" si="2"/>
        <v>2926</v>
      </c>
      <c r="E28" s="141"/>
      <c r="F28" s="172" t="s">
        <v>41</v>
      </c>
      <c r="G28" s="275">
        <v>100</v>
      </c>
      <c r="H28" s="159"/>
      <c r="I28" s="140"/>
      <c r="J28" s="114"/>
      <c r="K28" s="185"/>
      <c r="L28" s="198"/>
    </row>
    <row r="29" spans="2:16" ht="16.2" customHeight="1" x14ac:dyDescent="0.4">
      <c r="B29" s="138">
        <v>16</v>
      </c>
      <c r="C29" s="141"/>
      <c r="D29" s="140">
        <f t="shared" si="2"/>
        <v>2927</v>
      </c>
      <c r="E29" s="141"/>
      <c r="F29" s="172" t="s">
        <v>232</v>
      </c>
      <c r="G29" s="275">
        <v>100</v>
      </c>
      <c r="H29" s="159"/>
      <c r="I29" s="140"/>
      <c r="J29" s="114"/>
      <c r="K29" s="185"/>
      <c r="L29" s="198"/>
    </row>
    <row r="30" spans="2:16" ht="16.2" customHeight="1" x14ac:dyDescent="0.4">
      <c r="B30" s="138">
        <v>16</v>
      </c>
      <c r="C30" s="141"/>
      <c r="D30" s="140">
        <f t="shared" si="2"/>
        <v>2928</v>
      </c>
      <c r="E30" s="141"/>
      <c r="F30" s="172" t="s">
        <v>380</v>
      </c>
      <c r="G30" s="275">
        <v>100</v>
      </c>
      <c r="H30" s="159"/>
      <c r="I30" s="140"/>
      <c r="J30" s="114"/>
      <c r="K30" s="185"/>
      <c r="L30" s="198"/>
      <c r="M30" s="272"/>
      <c r="P30" s="275"/>
    </row>
    <row r="31" spans="2:16" ht="16.2" customHeight="1" x14ac:dyDescent="0.4">
      <c r="B31" s="138">
        <v>16</v>
      </c>
      <c r="C31" s="395"/>
      <c r="D31" s="177">
        <f t="shared" si="2"/>
        <v>2929</v>
      </c>
      <c r="E31" s="395"/>
      <c r="F31" s="396" t="s">
        <v>238</v>
      </c>
      <c r="G31" s="407">
        <v>50</v>
      </c>
      <c r="H31" s="399"/>
      <c r="I31" s="177"/>
      <c r="J31" s="114"/>
      <c r="K31" s="185"/>
      <c r="L31" s="198"/>
      <c r="M31" s="272"/>
      <c r="P31" s="407"/>
    </row>
    <row r="32" spans="2:16" ht="16.2" customHeight="1" x14ac:dyDescent="0.4">
      <c r="B32" s="138">
        <v>16</v>
      </c>
      <c r="C32" s="395"/>
      <c r="D32" s="177">
        <f t="shared" si="2"/>
        <v>2930</v>
      </c>
      <c r="E32" s="395"/>
      <c r="F32" s="396" t="s">
        <v>760</v>
      </c>
      <c r="G32" s="397">
        <v>100</v>
      </c>
      <c r="H32" s="399"/>
      <c r="I32" s="177"/>
      <c r="J32" s="114"/>
      <c r="K32" s="185"/>
      <c r="L32" s="198"/>
      <c r="M32" s="272"/>
    </row>
    <row r="33" spans="2:13" ht="16.2" customHeight="1" x14ac:dyDescent="0.4">
      <c r="B33" s="345" t="s">
        <v>307</v>
      </c>
      <c r="C33" s="395"/>
      <c r="D33" s="177"/>
      <c r="E33" s="395"/>
      <c r="F33" s="396"/>
      <c r="G33" s="400">
        <f>SUM(G26:G32)</f>
        <v>650</v>
      </c>
      <c r="H33" s="399"/>
      <c r="I33" s="162">
        <f>G33-J33</f>
        <v>0</v>
      </c>
      <c r="J33" s="114">
        <v>650</v>
      </c>
      <c r="K33" s="185">
        <v>350</v>
      </c>
      <c r="L33" s="198">
        <f>J33+K33</f>
        <v>1000</v>
      </c>
      <c r="M33" s="272"/>
    </row>
    <row r="34" spans="2:13" ht="16.2" customHeight="1" x14ac:dyDescent="0.4">
      <c r="B34" s="138">
        <v>17</v>
      </c>
      <c r="C34" s="395"/>
      <c r="D34" s="177">
        <v>2931</v>
      </c>
      <c r="E34" s="395"/>
      <c r="F34" s="396" t="s">
        <v>170</v>
      </c>
      <c r="G34" s="397">
        <v>5000</v>
      </c>
      <c r="H34" s="399"/>
      <c r="I34" s="191"/>
      <c r="J34" s="114"/>
      <c r="K34" s="185"/>
      <c r="L34" s="198"/>
      <c r="M34" s="272"/>
    </row>
    <row r="35" spans="2:13" ht="16.2" customHeight="1" x14ac:dyDescent="0.4">
      <c r="B35" s="416" t="s">
        <v>307</v>
      </c>
      <c r="C35" s="395"/>
      <c r="D35" s="177"/>
      <c r="E35" s="395"/>
      <c r="F35" s="396"/>
      <c r="G35" s="400">
        <f>G34</f>
        <v>5000</v>
      </c>
      <c r="H35" s="399"/>
      <c r="I35" s="191">
        <f>G35</f>
        <v>5000</v>
      </c>
      <c r="J35" s="114"/>
      <c r="K35" s="185"/>
      <c r="L35" s="198"/>
      <c r="M35" s="272"/>
    </row>
    <row r="36" spans="2:13" ht="16.2" customHeight="1" x14ac:dyDescent="0.4">
      <c r="B36" s="175">
        <v>24</v>
      </c>
      <c r="C36" s="395"/>
      <c r="D36" s="177">
        <v>2932</v>
      </c>
      <c r="E36" s="395"/>
      <c r="F36" s="396" t="s">
        <v>41</v>
      </c>
      <c r="G36" s="397">
        <v>100</v>
      </c>
      <c r="H36" s="399"/>
      <c r="I36" s="177"/>
      <c r="J36" s="114"/>
      <c r="K36" s="185"/>
      <c r="L36" s="198"/>
    </row>
    <row r="37" spans="2:13" ht="16.2" customHeight="1" x14ac:dyDescent="0.4">
      <c r="B37" s="175">
        <v>24</v>
      </c>
      <c r="C37" s="395"/>
      <c r="D37" s="177">
        <f>1+D36</f>
        <v>2933</v>
      </c>
      <c r="E37" s="395"/>
      <c r="F37" s="396" t="s">
        <v>232</v>
      </c>
      <c r="G37" s="397">
        <v>100</v>
      </c>
      <c r="H37" s="399"/>
      <c r="I37" s="177"/>
      <c r="J37" s="114"/>
      <c r="K37" s="185"/>
      <c r="L37" s="198"/>
    </row>
    <row r="38" spans="2:13" ht="16.2" customHeight="1" x14ac:dyDescent="0.4">
      <c r="B38" s="175">
        <v>24</v>
      </c>
      <c r="C38" s="395"/>
      <c r="D38" s="177">
        <f t="shared" ref="D38:D39" si="3">1+D37</f>
        <v>2934</v>
      </c>
      <c r="E38" s="395"/>
      <c r="F38" s="396" t="s">
        <v>20</v>
      </c>
      <c r="G38" s="397">
        <v>100</v>
      </c>
      <c r="H38" s="399"/>
      <c r="I38" s="177"/>
      <c r="J38" s="114"/>
      <c r="K38" s="185"/>
      <c r="L38" s="198"/>
    </row>
    <row r="39" spans="2:13" ht="16.2" customHeight="1" x14ac:dyDescent="0.4">
      <c r="B39" s="175">
        <v>24</v>
      </c>
      <c r="C39" s="395"/>
      <c r="D39" s="177">
        <f t="shared" si="3"/>
        <v>2935</v>
      </c>
      <c r="E39" s="395"/>
      <c r="F39" s="396" t="s">
        <v>781</v>
      </c>
      <c r="G39" s="397">
        <v>100</v>
      </c>
      <c r="H39" s="399"/>
      <c r="I39" s="177"/>
      <c r="J39" s="114"/>
      <c r="K39" s="185"/>
      <c r="L39" s="198"/>
    </row>
    <row r="40" spans="2:13" ht="16.2" customHeight="1" thickBot="1" x14ac:dyDescent="0.45">
      <c r="B40" s="345" t="s">
        <v>307</v>
      </c>
      <c r="C40" s="395"/>
      <c r="D40" s="177"/>
      <c r="E40" s="395"/>
      <c r="F40" s="396"/>
      <c r="G40" s="400">
        <f>SUM(G36:G39)</f>
        <v>400</v>
      </c>
      <c r="H40" s="399"/>
      <c r="I40" s="162">
        <f>G40-J40</f>
        <v>0</v>
      </c>
      <c r="J40" s="114">
        <v>400</v>
      </c>
      <c r="K40" s="185">
        <v>600</v>
      </c>
      <c r="L40" s="198">
        <f t="shared" ref="L40:L47" si="4">J40+K40</f>
        <v>1000</v>
      </c>
    </row>
    <row r="41" spans="2:13" ht="16.2" hidden="1" customHeight="1" x14ac:dyDescent="0.4">
      <c r="B41" s="175"/>
      <c r="C41" s="395"/>
      <c r="D41" s="177"/>
      <c r="E41" s="395"/>
      <c r="F41" s="396"/>
      <c r="G41" s="397"/>
      <c r="H41" s="399"/>
      <c r="I41" s="177"/>
      <c r="J41" s="114"/>
      <c r="K41" s="185"/>
      <c r="L41" s="198">
        <f t="shared" si="4"/>
        <v>0</v>
      </c>
    </row>
    <row r="42" spans="2:13" ht="16.2" hidden="1" customHeight="1" x14ac:dyDescent="0.4">
      <c r="B42" s="175"/>
      <c r="C42" s="395"/>
      <c r="D42" s="177"/>
      <c r="E42" s="395"/>
      <c r="F42" s="396"/>
      <c r="G42" s="397"/>
      <c r="H42" s="399"/>
      <c r="I42" s="177"/>
      <c r="J42" s="114"/>
      <c r="K42" s="185"/>
      <c r="L42" s="198">
        <f t="shared" si="4"/>
        <v>0</v>
      </c>
    </row>
    <row r="43" spans="2:13" ht="16.2" hidden="1" customHeight="1" x14ac:dyDescent="0.4">
      <c r="B43" s="175"/>
      <c r="C43" s="395"/>
      <c r="D43" s="177"/>
      <c r="E43" s="395"/>
      <c r="F43" s="396"/>
      <c r="G43" s="397"/>
      <c r="H43" s="399"/>
      <c r="I43" s="177"/>
      <c r="J43" s="114"/>
      <c r="K43" s="185"/>
      <c r="L43" s="198"/>
    </row>
    <row r="44" spans="2:13" ht="16.2" hidden="1" customHeight="1" x14ac:dyDescent="0.4">
      <c r="B44" s="175"/>
      <c r="C44" s="395"/>
      <c r="D44" s="177"/>
      <c r="E44" s="395"/>
      <c r="F44" s="396"/>
      <c r="G44" s="397"/>
      <c r="H44" s="399"/>
      <c r="I44" s="177"/>
      <c r="J44" s="114"/>
      <c r="K44" s="185"/>
      <c r="L44" s="198"/>
    </row>
    <row r="45" spans="2:13" ht="16.2" hidden="1" customHeight="1" x14ac:dyDescent="0.4">
      <c r="B45" s="175"/>
      <c r="C45" s="395"/>
      <c r="D45" s="177"/>
      <c r="E45" s="395"/>
      <c r="F45" s="396"/>
      <c r="G45" s="397"/>
      <c r="H45" s="399"/>
      <c r="I45" s="177"/>
      <c r="J45" s="114"/>
      <c r="K45" s="185"/>
      <c r="L45" s="198"/>
    </row>
    <row r="46" spans="2:13" ht="16.2" hidden="1" customHeight="1" x14ac:dyDescent="0.4">
      <c r="B46" s="175"/>
      <c r="C46" s="395"/>
      <c r="D46" s="177"/>
      <c r="E46" s="395"/>
      <c r="F46" s="415"/>
      <c r="G46" s="403"/>
      <c r="H46" s="399"/>
      <c r="I46" s="177"/>
      <c r="J46" s="114"/>
      <c r="K46" s="185"/>
      <c r="L46" s="198">
        <f t="shared" si="4"/>
        <v>0</v>
      </c>
    </row>
    <row r="47" spans="2:13" ht="16.2" hidden="1" customHeight="1" thickBot="1" x14ac:dyDescent="0.45">
      <c r="B47" s="345" t="s">
        <v>307</v>
      </c>
      <c r="C47" s="395"/>
      <c r="D47" s="177"/>
      <c r="E47" s="395"/>
      <c r="F47" s="396"/>
      <c r="G47" s="400">
        <f>SUM(G41:G46)</f>
        <v>0</v>
      </c>
      <c r="H47" s="399"/>
      <c r="I47" s="162">
        <f>G47-J47</f>
        <v>-800</v>
      </c>
      <c r="J47" s="114">
        <v>800</v>
      </c>
      <c r="K47" s="185">
        <v>200</v>
      </c>
      <c r="L47" s="198">
        <f t="shared" si="4"/>
        <v>1000</v>
      </c>
    </row>
    <row r="48" spans="2:13" ht="16.2" hidden="1" customHeight="1" x14ac:dyDescent="0.4">
      <c r="B48" s="138">
        <v>19</v>
      </c>
      <c r="C48" s="141"/>
      <c r="D48" s="140">
        <v>2792</v>
      </c>
      <c r="E48" s="141"/>
      <c r="F48" s="172" t="s">
        <v>158</v>
      </c>
      <c r="G48" s="158"/>
      <c r="H48" s="159"/>
      <c r="I48" s="140"/>
      <c r="J48" s="179"/>
      <c r="K48" s="185"/>
      <c r="L48" s="199"/>
    </row>
    <row r="49" spans="2:12" ht="16.2" hidden="1" customHeight="1" x14ac:dyDescent="0.4">
      <c r="B49" s="138">
        <v>19</v>
      </c>
      <c r="C49" s="141"/>
      <c r="D49" s="140">
        <f>1+D48</f>
        <v>2793</v>
      </c>
      <c r="E49" s="141"/>
      <c r="F49" s="172" t="s">
        <v>41</v>
      </c>
      <c r="G49" s="275"/>
      <c r="H49" s="159"/>
      <c r="I49" s="162"/>
      <c r="J49" s="179"/>
      <c r="K49" s="185"/>
      <c r="L49" s="199"/>
    </row>
    <row r="50" spans="2:12" ht="16.2" hidden="1" customHeight="1" x14ac:dyDescent="0.4">
      <c r="B50" s="154" t="s">
        <v>307</v>
      </c>
      <c r="C50" s="141"/>
      <c r="D50" s="140"/>
      <c r="E50" s="141"/>
      <c r="F50" s="172"/>
      <c r="G50" s="334">
        <f>SUM(G48:G49)</f>
        <v>0</v>
      </c>
      <c r="H50" s="159"/>
      <c r="I50" s="162">
        <f>G50-J50</f>
        <v>0</v>
      </c>
      <c r="J50" s="179"/>
      <c r="K50" s="185"/>
      <c r="L50" s="199"/>
    </row>
    <row r="51" spans="2:12" ht="16.2" hidden="1" customHeight="1" x14ac:dyDescent="0.4">
      <c r="B51" s="138">
        <v>20</v>
      </c>
      <c r="C51" s="141"/>
      <c r="D51" s="140">
        <v>2794</v>
      </c>
      <c r="E51" s="141"/>
      <c r="F51" s="172" t="s">
        <v>550</v>
      </c>
      <c r="G51" s="275"/>
      <c r="H51" s="159"/>
      <c r="I51" s="140"/>
      <c r="J51" s="179"/>
      <c r="K51" s="185"/>
      <c r="L51" s="199"/>
    </row>
    <row r="52" spans="2:12" ht="16.2" hidden="1" customHeight="1" x14ac:dyDescent="0.4">
      <c r="B52" s="138">
        <v>20</v>
      </c>
      <c r="C52" s="141"/>
      <c r="D52" s="140">
        <f t="shared" ref="D52:D57" si="5">1+D51</f>
        <v>2795</v>
      </c>
      <c r="E52" s="141"/>
      <c r="F52" s="172" t="s">
        <v>551</v>
      </c>
      <c r="G52" s="275"/>
      <c r="H52" s="159"/>
      <c r="I52" s="140"/>
      <c r="J52" s="179"/>
      <c r="K52" s="185"/>
      <c r="L52" s="199"/>
    </row>
    <row r="53" spans="2:12" ht="16.2" hidden="1" customHeight="1" x14ac:dyDescent="0.4">
      <c r="B53" s="138">
        <v>20</v>
      </c>
      <c r="C53" s="141"/>
      <c r="D53" s="140">
        <f t="shared" si="5"/>
        <v>2796</v>
      </c>
      <c r="E53" s="141"/>
      <c r="F53" s="172" t="s">
        <v>552</v>
      </c>
      <c r="G53" s="275"/>
      <c r="H53" s="159"/>
      <c r="I53" s="140"/>
      <c r="J53" s="179"/>
      <c r="K53" s="185"/>
      <c r="L53" s="199"/>
    </row>
    <row r="54" spans="2:12" ht="16.2" hidden="1" customHeight="1" x14ac:dyDescent="0.4">
      <c r="B54" s="138">
        <v>20</v>
      </c>
      <c r="C54" s="141"/>
      <c r="D54" s="140">
        <f t="shared" si="5"/>
        <v>2797</v>
      </c>
      <c r="E54" s="141"/>
      <c r="F54" s="172" t="s">
        <v>33</v>
      </c>
      <c r="G54" s="275"/>
      <c r="H54" s="159"/>
      <c r="I54" s="140"/>
      <c r="J54" s="179"/>
      <c r="K54" s="185"/>
      <c r="L54" s="199"/>
    </row>
    <row r="55" spans="2:12" ht="16.2" hidden="1" customHeight="1" x14ac:dyDescent="0.4">
      <c r="B55" s="138">
        <v>20</v>
      </c>
      <c r="C55" s="141"/>
      <c r="D55" s="140">
        <f t="shared" si="5"/>
        <v>2798</v>
      </c>
      <c r="E55" s="141"/>
      <c r="F55" s="172" t="s">
        <v>553</v>
      </c>
      <c r="G55" s="275"/>
      <c r="H55" s="159"/>
      <c r="I55" s="140"/>
      <c r="J55" s="179"/>
      <c r="K55" s="185"/>
      <c r="L55" s="199"/>
    </row>
    <row r="56" spans="2:12" ht="16.2" hidden="1" customHeight="1" x14ac:dyDescent="0.4">
      <c r="B56" s="138">
        <v>20</v>
      </c>
      <c r="C56" s="141"/>
      <c r="D56" s="140">
        <f t="shared" si="5"/>
        <v>2799</v>
      </c>
      <c r="E56" s="141"/>
      <c r="F56" s="335" t="s">
        <v>554</v>
      </c>
      <c r="G56" s="275">
        <v>0</v>
      </c>
      <c r="H56" s="159"/>
      <c r="I56" s="140"/>
      <c r="J56" s="179"/>
      <c r="K56" s="185"/>
      <c r="L56" s="199"/>
    </row>
    <row r="57" spans="2:12" ht="16.2" hidden="1" customHeight="1" x14ac:dyDescent="0.4">
      <c r="B57" s="138">
        <v>20</v>
      </c>
      <c r="C57" s="141"/>
      <c r="D57" s="140">
        <f t="shared" si="5"/>
        <v>2800</v>
      </c>
      <c r="E57" s="141"/>
      <c r="F57" s="172" t="s">
        <v>121</v>
      </c>
      <c r="G57" s="348"/>
      <c r="H57" s="159"/>
      <c r="I57" s="140"/>
      <c r="J57" s="142"/>
      <c r="K57" s="185"/>
      <c r="L57" s="199"/>
    </row>
    <row r="58" spans="2:12" ht="16.2" hidden="1" customHeight="1" x14ac:dyDescent="0.4">
      <c r="B58" s="154" t="s">
        <v>307</v>
      </c>
      <c r="C58" s="141"/>
      <c r="D58" s="140"/>
      <c r="E58" s="141"/>
      <c r="F58" s="172"/>
      <c r="G58" s="334">
        <f>SUM(G51:G57)</f>
        <v>0</v>
      </c>
      <c r="H58" s="159"/>
      <c r="I58" s="162">
        <f>G58-J58</f>
        <v>0</v>
      </c>
      <c r="J58" s="142">
        <v>0</v>
      </c>
      <c r="K58" s="185"/>
      <c r="L58" s="198">
        <f>J58+K58</f>
        <v>0</v>
      </c>
    </row>
    <row r="59" spans="2:12" ht="16.2" hidden="1" customHeight="1" x14ac:dyDescent="0.4">
      <c r="B59" s="138">
        <v>12</v>
      </c>
      <c r="C59" s="141"/>
      <c r="D59" s="140">
        <v>2801</v>
      </c>
      <c r="E59" s="141"/>
      <c r="F59" s="172" t="s">
        <v>434</v>
      </c>
      <c r="G59" s="275"/>
      <c r="H59" s="159"/>
      <c r="I59" s="162"/>
      <c r="J59" s="142"/>
      <c r="K59" s="185"/>
      <c r="L59" s="198"/>
    </row>
    <row r="60" spans="2:12" ht="16.2" hidden="1" customHeight="1" x14ac:dyDescent="0.4">
      <c r="B60" s="138">
        <v>13</v>
      </c>
      <c r="C60" s="141"/>
      <c r="D60" s="140">
        <f t="shared" ref="D60:D65" si="6">1+D59</f>
        <v>2802</v>
      </c>
      <c r="E60" s="141"/>
      <c r="F60" s="347" t="s">
        <v>555</v>
      </c>
      <c r="G60" s="341"/>
      <c r="H60" s="159"/>
      <c r="I60" s="162"/>
      <c r="J60" s="142"/>
      <c r="K60" s="185"/>
      <c r="L60" s="198"/>
    </row>
    <row r="61" spans="2:12" ht="16.2" hidden="1" customHeight="1" x14ac:dyDescent="0.4">
      <c r="B61" s="138">
        <v>14</v>
      </c>
      <c r="C61" s="141"/>
      <c r="D61" s="140">
        <f t="shared" si="6"/>
        <v>2803</v>
      </c>
      <c r="E61" s="141"/>
      <c r="F61" s="347" t="s">
        <v>106</v>
      </c>
      <c r="G61" s="341"/>
      <c r="H61" s="159"/>
      <c r="I61" s="140"/>
      <c r="J61" s="142"/>
      <c r="K61" s="185"/>
      <c r="L61" s="199"/>
    </row>
    <row r="62" spans="2:12" ht="16.2" hidden="1" customHeight="1" x14ac:dyDescent="0.4">
      <c r="B62" s="138">
        <v>15</v>
      </c>
      <c r="C62" s="141"/>
      <c r="D62" s="140">
        <f t="shared" si="6"/>
        <v>2804</v>
      </c>
      <c r="E62" s="141"/>
      <c r="F62" s="347" t="s">
        <v>556</v>
      </c>
      <c r="G62" s="341"/>
      <c r="H62" s="159"/>
      <c r="I62" s="140"/>
      <c r="J62" s="142"/>
      <c r="K62" s="185"/>
      <c r="L62" s="199"/>
    </row>
    <row r="63" spans="2:12" ht="16.2" hidden="1" customHeight="1" x14ac:dyDescent="0.4">
      <c r="B63" s="138">
        <v>17</v>
      </c>
      <c r="C63" s="141"/>
      <c r="D63" s="140">
        <f t="shared" si="6"/>
        <v>2805</v>
      </c>
      <c r="E63" s="141"/>
      <c r="F63" s="172" t="s">
        <v>14</v>
      </c>
      <c r="G63" s="275"/>
      <c r="H63" s="159"/>
      <c r="I63" s="140"/>
      <c r="J63" s="142"/>
      <c r="K63" s="185"/>
      <c r="L63" s="199"/>
    </row>
    <row r="64" spans="2:12" ht="16.2" hidden="1" customHeight="1" x14ac:dyDescent="0.4">
      <c r="B64" s="138">
        <v>20</v>
      </c>
      <c r="C64" s="141"/>
      <c r="D64" s="140">
        <f t="shared" si="6"/>
        <v>2806</v>
      </c>
      <c r="E64" s="141"/>
      <c r="F64" s="172" t="s">
        <v>557</v>
      </c>
      <c r="G64" s="275"/>
      <c r="H64" s="159"/>
      <c r="I64" s="140"/>
      <c r="J64" s="142"/>
      <c r="K64" s="185"/>
      <c r="L64" s="199"/>
    </row>
    <row r="65" spans="2:16" ht="16.2" hidden="1" customHeight="1" x14ac:dyDescent="0.4">
      <c r="B65" s="138">
        <v>25</v>
      </c>
      <c r="C65" s="141"/>
      <c r="D65" s="140">
        <f t="shared" si="6"/>
        <v>2807</v>
      </c>
      <c r="E65" s="141"/>
      <c r="F65" s="172" t="s">
        <v>558</v>
      </c>
      <c r="G65" s="275"/>
      <c r="H65" s="159"/>
      <c r="I65" s="140"/>
      <c r="J65" s="142"/>
      <c r="K65" s="185"/>
      <c r="L65" s="199"/>
    </row>
    <row r="66" spans="2:16" ht="16.2" hidden="1" customHeight="1" x14ac:dyDescent="0.4">
      <c r="B66" s="345" t="s">
        <v>307</v>
      </c>
      <c r="C66" s="141"/>
      <c r="D66" s="140"/>
      <c r="E66" s="141"/>
      <c r="F66" s="172"/>
      <c r="G66" s="334">
        <f>SUM(G59:G65)</f>
        <v>0</v>
      </c>
      <c r="H66" s="159"/>
      <c r="I66" s="343">
        <f>G66-J66</f>
        <v>0</v>
      </c>
      <c r="J66" s="142">
        <v>0</v>
      </c>
      <c r="K66" s="185"/>
      <c r="L66" s="198">
        <f>J66+K66</f>
        <v>0</v>
      </c>
    </row>
    <row r="67" spans="2:16" ht="16.2" hidden="1" customHeight="1" x14ac:dyDescent="0.4">
      <c r="B67" s="345" t="s">
        <v>307</v>
      </c>
      <c r="C67" s="19"/>
      <c r="D67" s="157"/>
      <c r="E67" s="19"/>
      <c r="F67" s="17" t="s">
        <v>571</v>
      </c>
      <c r="G67" s="349"/>
      <c r="H67" s="350"/>
      <c r="I67" s="343">
        <f>G67-J67</f>
        <v>0</v>
      </c>
      <c r="J67" s="216"/>
      <c r="K67" s="351"/>
      <c r="L67" s="352"/>
    </row>
    <row r="68" spans="2:16" ht="22.2" customHeight="1" thickBot="1" x14ac:dyDescent="0.45">
      <c r="B68" s="318" t="s">
        <v>297</v>
      </c>
      <c r="C68" s="319"/>
      <c r="D68" s="320"/>
      <c r="E68" s="321"/>
      <c r="F68" s="319"/>
      <c r="G68" s="322">
        <f>G19+G25+G33+G35+G40</f>
        <v>8806</v>
      </c>
      <c r="H68" s="322"/>
      <c r="I68" s="322">
        <f t="shared" ref="I68:L68" si="7">I19+I25+I33+I35+I40</f>
        <v>6156</v>
      </c>
      <c r="J68" s="322">
        <f t="shared" si="7"/>
        <v>2650</v>
      </c>
      <c r="K68" s="322">
        <f t="shared" si="7"/>
        <v>1350</v>
      </c>
      <c r="L68" s="322">
        <f t="shared" si="7"/>
        <v>4000</v>
      </c>
      <c r="P68" s="408"/>
    </row>
    <row r="69" spans="2:16" ht="16.2" customHeight="1" x14ac:dyDescent="0.4">
      <c r="B69" s="9"/>
      <c r="C69" s="8"/>
      <c r="D69" s="19"/>
      <c r="E69" s="19"/>
      <c r="F69" s="8"/>
      <c r="G69" s="10"/>
      <c r="H69" s="10"/>
      <c r="I69" s="14" t="s">
        <v>245</v>
      </c>
      <c r="J69" s="14" t="s">
        <v>245</v>
      </c>
      <c r="K69" s="12"/>
      <c r="L69" s="15" t="s">
        <v>245</v>
      </c>
      <c r="P69" s="409"/>
    </row>
    <row r="70" spans="2:16" ht="16.2" customHeight="1" x14ac:dyDescent="0.4">
      <c r="B70" s="9"/>
      <c r="C70" s="8"/>
      <c r="D70" s="19"/>
      <c r="E70" s="19"/>
      <c r="F70" s="8"/>
      <c r="G70" s="10" t="s">
        <v>245</v>
      </c>
      <c r="H70" s="10"/>
      <c r="I70" s="14" t="s">
        <v>245</v>
      </c>
      <c r="J70" s="14"/>
      <c r="K70" s="12"/>
      <c r="L70" s="15"/>
      <c r="P70" s="135"/>
    </row>
    <row r="71" spans="2:16" ht="14.15" customHeight="1" x14ac:dyDescent="0.4">
      <c r="B71" s="9"/>
      <c r="C71" s="8"/>
      <c r="D71" s="19"/>
      <c r="E71" s="19"/>
      <c r="F71" s="8"/>
      <c r="G71" s="10"/>
      <c r="H71" s="10"/>
      <c r="I71" s="14" t="s">
        <v>245</v>
      </c>
      <c r="J71" s="14" t="s">
        <v>245</v>
      </c>
      <c r="K71" s="12"/>
      <c r="L71" s="15"/>
      <c r="M71" s="135"/>
    </row>
    <row r="72" spans="2:16" ht="14.15" customHeight="1" x14ac:dyDescent="0.4">
      <c r="B72" s="8"/>
      <c r="C72" s="8"/>
      <c r="D72" s="8" t="s">
        <v>245</v>
      </c>
      <c r="E72" s="8"/>
      <c r="F72" s="8"/>
      <c r="G72" s="8"/>
      <c r="H72" s="8"/>
      <c r="I72" s="8"/>
      <c r="J72" s="8"/>
      <c r="K72" s="8"/>
    </row>
    <row r="73" spans="2:16" ht="14.15" customHeight="1" x14ac:dyDescent="0.4">
      <c r="B73" s="8"/>
      <c r="C73" s="8"/>
      <c r="D73" s="19" t="s">
        <v>245</v>
      </c>
      <c r="E73" s="8"/>
      <c r="F73" s="19" t="s">
        <v>245</v>
      </c>
      <c r="G73" s="8"/>
      <c r="H73" s="8"/>
      <c r="I73" s="8"/>
      <c r="J73" s="8"/>
      <c r="K73" s="8" t="s">
        <v>712</v>
      </c>
    </row>
    <row r="74" spans="2:16" ht="14.15" customHeight="1" x14ac:dyDescent="0.4">
      <c r="B74" s="8"/>
      <c r="C74" s="8"/>
      <c r="D74" s="8"/>
      <c r="E74" s="8"/>
      <c r="F74" s="19"/>
      <c r="G74" s="8"/>
      <c r="H74" s="8"/>
      <c r="I74" s="8"/>
      <c r="J74" s="8"/>
      <c r="K74" s="8"/>
    </row>
    <row r="75" spans="2:16" ht="14.15" customHeight="1" x14ac:dyDescent="0.4">
      <c r="B75" s="8"/>
      <c r="C75" s="8"/>
      <c r="D75" s="8"/>
      <c r="E75" s="8"/>
      <c r="F75" s="19"/>
      <c r="G75" s="8"/>
      <c r="H75" s="8"/>
      <c r="I75" s="8"/>
      <c r="J75" s="8"/>
      <c r="K75" s="8"/>
    </row>
    <row r="76" spans="2:16" ht="14.15" customHeight="1" x14ac:dyDescent="0.4">
      <c r="B76" s="8"/>
      <c r="C76" s="8"/>
      <c r="D76" s="8"/>
      <c r="E76" s="8"/>
      <c r="F76" s="19"/>
      <c r="G76" s="8"/>
      <c r="H76" s="8"/>
      <c r="I76" s="8"/>
      <c r="J76" s="8"/>
      <c r="K76" s="8"/>
    </row>
    <row r="77" spans="2:16" ht="14.15" customHeight="1" x14ac:dyDescent="0.4">
      <c r="B77" s="267" t="s">
        <v>782</v>
      </c>
      <c r="C77" s="267"/>
      <c r="D77" s="267"/>
      <c r="E77" s="267"/>
      <c r="F77" s="19"/>
      <c r="G77" s="8"/>
      <c r="H77" s="8"/>
      <c r="I77" s="8"/>
      <c r="J77" s="8"/>
      <c r="K77" s="8"/>
    </row>
    <row r="78" spans="2:16" ht="14.15" customHeight="1" thickBot="1" x14ac:dyDescent="0.45">
      <c r="B78" s="19" t="s">
        <v>245</v>
      </c>
      <c r="C78" s="8"/>
      <c r="D78" s="8"/>
      <c r="E78" s="8"/>
      <c r="F78" s="19"/>
      <c r="G78" s="19"/>
      <c r="H78" s="19"/>
      <c r="I78" s="19"/>
      <c r="J78" s="19"/>
      <c r="K78" s="19"/>
    </row>
    <row r="79" spans="2:16" ht="18" customHeight="1" thickBot="1" x14ac:dyDescent="0.45">
      <c r="B79" s="469" t="s">
        <v>311</v>
      </c>
      <c r="C79" s="470"/>
      <c r="D79" s="470"/>
      <c r="E79" s="471"/>
      <c r="F79" s="209" t="s">
        <v>123</v>
      </c>
      <c r="G79" s="19"/>
      <c r="H79" s="19"/>
      <c r="I79" s="19"/>
      <c r="J79" s="19"/>
      <c r="K79" s="19"/>
    </row>
    <row r="80" spans="2:16" ht="15" customHeight="1" thickBot="1" x14ac:dyDescent="0.45">
      <c r="B80" s="329" t="s">
        <v>253</v>
      </c>
      <c r="C80" s="330" t="s">
        <v>30</v>
      </c>
      <c r="D80" s="325" t="s">
        <v>245</v>
      </c>
      <c r="E80" s="325"/>
      <c r="F80" s="401">
        <v>1000</v>
      </c>
      <c r="G80" s="41"/>
      <c r="H80" s="41"/>
      <c r="I80" s="8"/>
      <c r="J80" s="201"/>
      <c r="K80" s="8"/>
    </row>
    <row r="81" spans="2:11" ht="15" customHeight="1" thickBot="1" x14ac:dyDescent="0.45">
      <c r="B81" s="329" t="s">
        <v>253</v>
      </c>
      <c r="C81" s="330" t="s">
        <v>29</v>
      </c>
      <c r="D81" s="325"/>
      <c r="E81" s="325"/>
      <c r="F81" s="401">
        <v>1000</v>
      </c>
      <c r="G81" s="41"/>
      <c r="H81" s="41"/>
      <c r="I81" s="8"/>
      <c r="J81" s="201"/>
      <c r="K81" s="8"/>
    </row>
    <row r="82" spans="2:11" ht="15" customHeight="1" thickBot="1" x14ac:dyDescent="0.45">
      <c r="B82" s="329" t="s">
        <v>253</v>
      </c>
      <c r="C82" s="330">
        <v>16</v>
      </c>
      <c r="D82" s="325"/>
      <c r="E82" s="325"/>
      <c r="F82" s="401">
        <v>1000</v>
      </c>
      <c r="G82" s="41"/>
      <c r="H82" s="41"/>
      <c r="I82" s="8"/>
      <c r="J82" s="201"/>
      <c r="K82" s="8"/>
    </row>
    <row r="83" spans="2:11" ht="15" customHeight="1" thickBot="1" x14ac:dyDescent="0.45">
      <c r="B83" s="388" t="s">
        <v>253</v>
      </c>
      <c r="C83" s="331">
        <v>24</v>
      </c>
      <c r="D83" s="326"/>
      <c r="E83" s="326"/>
      <c r="F83" s="402">
        <v>1000</v>
      </c>
      <c r="G83" s="41"/>
      <c r="H83" s="41"/>
      <c r="I83" s="8"/>
      <c r="J83" s="201"/>
      <c r="K83" s="8"/>
    </row>
    <row r="84" spans="2:11" ht="15" hidden="1" customHeight="1" x14ac:dyDescent="0.4">
      <c r="B84" s="329" t="s">
        <v>245</v>
      </c>
      <c r="C84" s="330" t="s">
        <v>245</v>
      </c>
      <c r="D84" s="325"/>
      <c r="E84" s="325"/>
      <c r="F84" s="401" t="s">
        <v>245</v>
      </c>
      <c r="G84" s="41"/>
      <c r="H84" s="41"/>
      <c r="I84" s="8"/>
      <c r="J84" s="201"/>
      <c r="K84" s="8"/>
    </row>
    <row r="85" spans="2:11" ht="8.15" customHeight="1" x14ac:dyDescent="0.4">
      <c r="B85" s="210"/>
      <c r="C85" s="211"/>
      <c r="D85" s="212" t="s">
        <v>245</v>
      </c>
      <c r="E85" s="212"/>
      <c r="F85" s="213"/>
      <c r="G85" s="10"/>
      <c r="H85" s="10"/>
      <c r="I85" s="21"/>
      <c r="J85" s="201"/>
      <c r="K85" s="10"/>
    </row>
    <row r="86" spans="2:11" ht="14.15" customHeight="1" thickBot="1" x14ac:dyDescent="0.45">
      <c r="B86" s="466" t="s">
        <v>296</v>
      </c>
      <c r="C86" s="467"/>
      <c r="D86" s="467"/>
      <c r="E86" s="214"/>
      <c r="F86" s="215">
        <f>SUM(F80:F84)</f>
        <v>4000</v>
      </c>
      <c r="G86" s="10"/>
      <c r="H86" s="10"/>
      <c r="I86" s="21"/>
      <c r="J86" s="203"/>
      <c r="K86" s="10"/>
    </row>
    <row r="87" spans="2:11" ht="15.45" x14ac:dyDescent="0.4">
      <c r="B87" s="26"/>
      <c r="C87" s="8"/>
      <c r="D87" s="8"/>
      <c r="E87" s="8"/>
      <c r="F87" s="8"/>
      <c r="G87" s="10"/>
      <c r="H87" s="10"/>
      <c r="I87" s="27"/>
      <c r="J87" s="27"/>
      <c r="K87" s="10"/>
    </row>
    <row r="88" spans="2:11" ht="15.45" x14ac:dyDescent="0.4">
      <c r="B88" s="25"/>
      <c r="C88" s="8"/>
      <c r="D88" s="8"/>
      <c r="E88" s="8"/>
      <c r="F88" s="8"/>
      <c r="G88" s="41"/>
      <c r="H88" s="41"/>
      <c r="I88" s="21"/>
      <c r="J88" s="27"/>
      <c r="K88" s="10"/>
    </row>
    <row r="89" spans="2:11" ht="15.45" x14ac:dyDescent="0.4">
      <c r="B89" s="26"/>
      <c r="C89" s="8"/>
      <c r="D89" s="6"/>
      <c r="E89" s="6"/>
      <c r="F89" s="8"/>
      <c r="G89" s="10"/>
      <c r="H89" s="10"/>
      <c r="I89" s="10"/>
      <c r="J89" s="8"/>
      <c r="K89" s="10"/>
    </row>
    <row r="90" spans="2:11" ht="15.45" x14ac:dyDescent="0.4">
      <c r="F90" s="8"/>
      <c r="I90" s="27"/>
    </row>
  </sheetData>
  <mergeCells count="9">
    <mergeCell ref="B79:E79"/>
    <mergeCell ref="B86:D86"/>
    <mergeCell ref="B7:L7"/>
    <mergeCell ref="F9:J9"/>
    <mergeCell ref="G11:G12"/>
    <mergeCell ref="H11:H12"/>
    <mergeCell ref="I11:I12"/>
    <mergeCell ref="J11:K11"/>
    <mergeCell ref="L11:L12"/>
  </mergeCells>
  <pageMargins left="0" right="0" top="0.25" bottom="0.25" header="0.3" footer="0.3"/>
  <pageSetup paperSize="9" scale="80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79825B-936C-4AF5-9EF5-C7CECCB99A45}">
  <dimension ref="B1:S94"/>
  <sheetViews>
    <sheetView topLeftCell="A50" workbookViewId="0">
      <selection activeCell="G53" sqref="G53"/>
    </sheetView>
  </sheetViews>
  <sheetFormatPr defaultRowHeight="14.6" x14ac:dyDescent="0.4"/>
  <cols>
    <col min="1" max="1" width="3.3046875" customWidth="1"/>
    <col min="2" max="2" width="1.3046875" customWidth="1"/>
    <col min="3" max="3" width="16.69140625" customWidth="1"/>
    <col min="4" max="4" width="0.53515625" customWidth="1"/>
    <col min="5" max="5" width="12.3046875" customWidth="1"/>
    <col min="6" max="6" width="1.4609375" customWidth="1"/>
    <col min="7" max="7" width="12" customWidth="1"/>
    <col min="8" max="8" width="19.07421875" customWidth="1"/>
    <col min="9" max="9" width="16.53515625" customWidth="1"/>
    <col min="10" max="10" width="28.4609375" customWidth="1"/>
    <col min="11" max="11" width="16.07421875" customWidth="1"/>
    <col min="12" max="12" width="3" customWidth="1"/>
    <col min="13" max="13" width="18.3046875" customWidth="1"/>
    <col min="14" max="14" width="1" customWidth="1"/>
    <col min="15" max="15" width="12.84375" customWidth="1"/>
    <col min="16" max="16" width="10.07421875" bestFit="1" customWidth="1"/>
    <col min="17" max="17" width="11.4609375" customWidth="1"/>
  </cols>
  <sheetData>
    <row r="1" spans="3:15" ht="6" customHeight="1" x14ac:dyDescent="0.4"/>
    <row r="2" spans="3:15" ht="6" customHeight="1" x14ac:dyDescent="0.4"/>
    <row r="3" spans="3:15" ht="6" customHeight="1" x14ac:dyDescent="0.4"/>
    <row r="4" spans="3:15" ht="20.149999999999999" customHeight="1" x14ac:dyDescent="0.4">
      <c r="C4" s="476" t="s">
        <v>0</v>
      </c>
      <c r="D4" s="476"/>
      <c r="E4" s="476"/>
      <c r="F4" s="476"/>
      <c r="G4" s="476"/>
      <c r="H4" s="476"/>
      <c r="I4" s="476"/>
      <c r="J4" s="476"/>
      <c r="K4" s="476"/>
      <c r="L4" s="476"/>
      <c r="M4" s="476"/>
      <c r="N4" s="476"/>
    </row>
    <row r="5" spans="3:15" ht="20.149999999999999" customHeight="1" x14ac:dyDescent="0.45">
      <c r="C5" s="492" t="s">
        <v>333</v>
      </c>
      <c r="D5" s="492"/>
      <c r="E5" s="492"/>
      <c r="F5" s="492"/>
      <c r="G5" s="492"/>
      <c r="H5" s="492"/>
      <c r="I5" s="492"/>
      <c r="J5" s="492"/>
      <c r="K5" s="492"/>
      <c r="L5" s="492"/>
      <c r="M5" s="492"/>
      <c r="N5" s="243"/>
    </row>
    <row r="6" spans="3:15" ht="20.149999999999999" customHeight="1" x14ac:dyDescent="0.45">
      <c r="C6" s="492" t="s">
        <v>245</v>
      </c>
      <c r="D6" s="492"/>
      <c r="E6" s="492"/>
      <c r="F6" s="492"/>
      <c r="G6" s="492"/>
      <c r="H6" s="492"/>
      <c r="I6" s="492"/>
      <c r="J6" s="492"/>
      <c r="K6" s="492"/>
      <c r="L6" s="492"/>
      <c r="M6" s="492"/>
      <c r="N6" s="243"/>
    </row>
    <row r="7" spans="3:15" ht="20.149999999999999" customHeight="1" x14ac:dyDescent="0.45">
      <c r="C7" s="476" t="s">
        <v>318</v>
      </c>
      <c r="D7" s="476"/>
      <c r="E7" s="476"/>
      <c r="F7" s="476"/>
      <c r="G7" s="476"/>
      <c r="H7" s="476"/>
      <c r="I7" s="476"/>
      <c r="J7" s="476"/>
      <c r="K7" s="476"/>
      <c r="L7" s="476"/>
      <c r="M7" s="476"/>
      <c r="N7" s="243"/>
    </row>
    <row r="8" spans="3:15" ht="20.149999999999999" customHeight="1" x14ac:dyDescent="0.45">
      <c r="C8" s="476" t="s">
        <v>821</v>
      </c>
      <c r="D8" s="476"/>
      <c r="E8" s="476"/>
      <c r="F8" s="476"/>
      <c r="G8" s="476"/>
      <c r="H8" s="476"/>
      <c r="I8" s="476"/>
      <c r="J8" s="476"/>
      <c r="K8" s="476"/>
      <c r="L8" s="476"/>
      <c r="M8" s="476"/>
      <c r="N8" s="221"/>
    </row>
    <row r="9" spans="3:15" ht="15" customHeight="1" x14ac:dyDescent="0.4"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</row>
    <row r="10" spans="3:15" ht="15" customHeight="1" x14ac:dyDescent="0.45">
      <c r="C10" s="220" t="s">
        <v>822</v>
      </c>
      <c r="D10" s="221"/>
      <c r="E10" s="221"/>
      <c r="F10" s="221"/>
      <c r="G10" s="221"/>
      <c r="H10" s="221"/>
      <c r="I10" s="221"/>
      <c r="J10" s="221"/>
      <c r="K10" s="221"/>
      <c r="L10" s="247" t="s">
        <v>326</v>
      </c>
      <c r="M10" s="219">
        <v>7178.3600000000079</v>
      </c>
      <c r="N10" s="8"/>
      <c r="O10" s="135" t="s">
        <v>245</v>
      </c>
    </row>
    <row r="11" spans="3:15" ht="15" customHeight="1" x14ac:dyDescent="0.45">
      <c r="C11" s="221"/>
      <c r="D11" s="221"/>
      <c r="E11" s="221"/>
      <c r="F11" s="221"/>
      <c r="G11" s="221"/>
      <c r="H11" s="221"/>
      <c r="I11" s="221"/>
      <c r="J11" s="221"/>
      <c r="K11" s="221"/>
      <c r="L11" s="8"/>
      <c r="M11" s="8"/>
      <c r="N11" s="8"/>
    </row>
    <row r="12" spans="3:15" ht="15" customHeight="1" x14ac:dyDescent="0.45">
      <c r="C12" s="220" t="s">
        <v>823</v>
      </c>
      <c r="D12" s="220"/>
      <c r="E12" s="221"/>
      <c r="F12" s="221"/>
      <c r="G12" s="221"/>
      <c r="H12" s="221"/>
      <c r="I12" s="221"/>
      <c r="J12" s="221"/>
      <c r="K12" s="221"/>
      <c r="L12" s="8"/>
      <c r="M12" s="8"/>
      <c r="N12" s="8"/>
    </row>
    <row r="13" spans="3:15" ht="15" customHeight="1" x14ac:dyDescent="0.45">
      <c r="C13" s="221"/>
      <c r="D13" s="221"/>
      <c r="E13" s="221"/>
      <c r="F13" s="221"/>
      <c r="G13" s="221"/>
      <c r="H13" s="221"/>
      <c r="I13" s="226" t="s">
        <v>245</v>
      </c>
      <c r="J13" s="226"/>
      <c r="K13" s="226" t="s">
        <v>245</v>
      </c>
      <c r="L13" s="19"/>
      <c r="M13" s="8"/>
      <c r="N13" s="8"/>
    </row>
    <row r="14" spans="3:15" ht="15" customHeight="1" x14ac:dyDescent="0.45">
      <c r="C14" s="476" t="s">
        <v>305</v>
      </c>
      <c r="D14" s="476"/>
      <c r="E14" s="476"/>
      <c r="F14" s="221"/>
      <c r="G14" s="221" t="s">
        <v>320</v>
      </c>
      <c r="H14" s="221"/>
      <c r="I14" s="226"/>
      <c r="J14" s="226"/>
      <c r="K14" s="226"/>
      <c r="L14" s="19"/>
      <c r="M14" s="8"/>
      <c r="N14" s="8"/>
    </row>
    <row r="15" spans="3:15" ht="15" customHeight="1" x14ac:dyDescent="0.45">
      <c r="C15" s="238"/>
      <c r="D15" s="238"/>
      <c r="E15" s="238"/>
      <c r="F15" s="221"/>
      <c r="G15" s="221"/>
      <c r="H15" s="221"/>
      <c r="I15" s="226"/>
      <c r="J15" s="226"/>
      <c r="K15" s="226"/>
      <c r="L15" s="19"/>
      <c r="M15" s="8"/>
      <c r="N15" s="8"/>
    </row>
    <row r="16" spans="3:15" ht="15" customHeight="1" x14ac:dyDescent="0.45">
      <c r="C16" s="476" t="s">
        <v>245</v>
      </c>
      <c r="D16" s="476"/>
      <c r="E16" s="476"/>
      <c r="F16" s="221"/>
      <c r="G16" s="221"/>
      <c r="H16" s="239" t="s">
        <v>316</v>
      </c>
      <c r="I16" s="239" t="s">
        <v>2</v>
      </c>
      <c r="J16" s="239" t="s">
        <v>407</v>
      </c>
      <c r="K16" s="239" t="s">
        <v>306</v>
      </c>
      <c r="L16" s="19"/>
      <c r="M16" s="8"/>
      <c r="N16" s="8"/>
    </row>
    <row r="17" spans="3:15" ht="15" customHeight="1" x14ac:dyDescent="0.45">
      <c r="C17" s="221"/>
      <c r="D17" s="221"/>
      <c r="E17" s="226" t="s">
        <v>245</v>
      </c>
      <c r="F17" s="226"/>
      <c r="G17" s="240" t="s">
        <v>245</v>
      </c>
      <c r="H17" s="222" t="s">
        <v>245</v>
      </c>
      <c r="I17" s="241" t="s">
        <v>245</v>
      </c>
      <c r="J17" s="241"/>
      <c r="K17" s="230" t="s">
        <v>245</v>
      </c>
      <c r="L17" s="201"/>
      <c r="M17" s="8"/>
      <c r="N17" s="8"/>
    </row>
    <row r="18" spans="3:15" ht="20.149999999999999" customHeight="1" x14ac:dyDescent="0.45">
      <c r="C18" s="221"/>
      <c r="D18" s="221"/>
      <c r="E18" s="226" t="s">
        <v>342</v>
      </c>
      <c r="F18" s="226"/>
      <c r="G18" s="240" t="s">
        <v>30</v>
      </c>
      <c r="H18" s="222">
        <v>1945</v>
      </c>
      <c r="I18" s="222">
        <v>0</v>
      </c>
      <c r="J18" s="222">
        <v>0</v>
      </c>
      <c r="K18" s="222">
        <f>H18-I18-J18</f>
        <v>1945</v>
      </c>
      <c r="L18" s="216"/>
      <c r="M18" s="8"/>
      <c r="N18" s="8"/>
    </row>
    <row r="19" spans="3:15" ht="20.149999999999999" customHeight="1" x14ac:dyDescent="0.45">
      <c r="C19" s="221"/>
      <c r="D19" s="221"/>
      <c r="E19" s="226" t="s">
        <v>342</v>
      </c>
      <c r="F19" s="226"/>
      <c r="G19" s="240" t="s">
        <v>29</v>
      </c>
      <c r="H19" s="222">
        <v>2421</v>
      </c>
      <c r="I19" s="222">
        <v>400</v>
      </c>
      <c r="J19" s="222">
        <v>0</v>
      </c>
      <c r="K19" s="222">
        <f t="shared" ref="K19:K27" si="0">H19-I19-J19</f>
        <v>2021</v>
      </c>
      <c r="L19" s="216"/>
      <c r="M19" s="8"/>
      <c r="N19" s="8"/>
    </row>
    <row r="20" spans="3:15" ht="20.149999999999999" customHeight="1" x14ac:dyDescent="0.45">
      <c r="C20" s="221"/>
      <c r="D20" s="221"/>
      <c r="E20" s="226" t="s">
        <v>342</v>
      </c>
      <c r="F20" s="226"/>
      <c r="G20" s="240" t="s">
        <v>34</v>
      </c>
      <c r="H20" s="222">
        <v>2330</v>
      </c>
      <c r="I20" s="222">
        <v>400</v>
      </c>
      <c r="J20" s="222">
        <v>0</v>
      </c>
      <c r="K20" s="222">
        <f t="shared" si="0"/>
        <v>1930</v>
      </c>
      <c r="L20" s="216"/>
      <c r="M20" s="8"/>
      <c r="N20" s="8"/>
    </row>
    <row r="21" spans="3:15" ht="20.149999999999999" hidden="1" customHeight="1" x14ac:dyDescent="0.45">
      <c r="C21" s="221"/>
      <c r="D21" s="221"/>
      <c r="E21" s="226"/>
      <c r="F21" s="226"/>
      <c r="G21" s="240"/>
      <c r="H21" s="222"/>
      <c r="I21" s="222"/>
      <c r="J21" s="222"/>
      <c r="K21" s="222"/>
      <c r="L21" s="216"/>
      <c r="M21" s="8"/>
      <c r="N21" s="8"/>
    </row>
    <row r="22" spans="3:15" ht="20.149999999999999" hidden="1" customHeight="1" x14ac:dyDescent="0.45">
      <c r="C22" s="221"/>
      <c r="D22" s="221"/>
      <c r="E22" s="226"/>
      <c r="F22" s="226"/>
      <c r="G22" s="240"/>
      <c r="H22" s="222"/>
      <c r="I22" s="222"/>
      <c r="J22" s="222"/>
      <c r="K22" s="222"/>
      <c r="L22" s="216"/>
      <c r="M22" s="8"/>
      <c r="N22" s="8"/>
    </row>
    <row r="23" spans="3:15" ht="20.149999999999999" hidden="1" customHeight="1" x14ac:dyDescent="0.45">
      <c r="C23" s="221"/>
      <c r="D23" s="221"/>
      <c r="E23" s="226"/>
      <c r="F23" s="226"/>
      <c r="G23" s="240"/>
      <c r="H23" s="222"/>
      <c r="I23" s="222"/>
      <c r="J23" s="222"/>
      <c r="K23" s="222"/>
      <c r="L23" s="216"/>
      <c r="M23" s="8"/>
      <c r="N23" s="8"/>
    </row>
    <row r="24" spans="3:15" ht="20.149999999999999" hidden="1" customHeight="1" x14ac:dyDescent="0.45">
      <c r="C24" s="221"/>
      <c r="D24" s="221"/>
      <c r="E24" s="226"/>
      <c r="F24" s="226"/>
      <c r="G24" s="240"/>
      <c r="H24" s="222"/>
      <c r="I24" s="222"/>
      <c r="J24" s="222"/>
      <c r="K24" s="222"/>
      <c r="L24" s="216"/>
      <c r="M24" s="8"/>
      <c r="N24" s="8"/>
    </row>
    <row r="25" spans="3:15" ht="20.149999999999999" hidden="1" customHeight="1" x14ac:dyDescent="0.45">
      <c r="C25" s="221"/>
      <c r="D25" s="221"/>
      <c r="E25" s="226"/>
      <c r="F25" s="226"/>
      <c r="G25" s="240"/>
      <c r="H25" s="222"/>
      <c r="I25" s="222"/>
      <c r="J25" s="222"/>
      <c r="K25" s="222"/>
      <c r="L25" s="216"/>
      <c r="M25" s="8"/>
      <c r="N25" s="8"/>
    </row>
    <row r="26" spans="3:15" ht="20.149999999999999" customHeight="1" x14ac:dyDescent="0.45">
      <c r="C26" s="221"/>
      <c r="D26" s="221"/>
      <c r="E26" s="226" t="s">
        <v>342</v>
      </c>
      <c r="F26" s="226"/>
      <c r="G26" s="240">
        <v>23</v>
      </c>
      <c r="H26" s="222">
        <v>1398</v>
      </c>
      <c r="I26" s="222">
        <v>400</v>
      </c>
      <c r="J26" s="222">
        <v>0</v>
      </c>
      <c r="K26" s="222">
        <f t="shared" ref="K26" si="1">H26-I26-J26</f>
        <v>998</v>
      </c>
      <c r="L26" s="216"/>
      <c r="M26" s="8"/>
      <c r="N26" s="8"/>
    </row>
    <row r="27" spans="3:15" ht="20.149999999999999" customHeight="1" x14ac:dyDescent="0.75">
      <c r="C27" s="221"/>
      <c r="D27" s="221"/>
      <c r="E27" s="226" t="s">
        <v>342</v>
      </c>
      <c r="F27" s="226"/>
      <c r="G27" s="240">
        <v>30</v>
      </c>
      <c r="H27" s="265">
        <v>1815</v>
      </c>
      <c r="I27" s="266">
        <v>550</v>
      </c>
      <c r="J27" s="266">
        <v>0</v>
      </c>
      <c r="K27" s="266">
        <f t="shared" si="0"/>
        <v>1265</v>
      </c>
      <c r="L27" s="216"/>
      <c r="M27" s="8"/>
      <c r="N27" s="8"/>
      <c r="O27" s="272"/>
    </row>
    <row r="28" spans="3:15" ht="20.149999999999999" hidden="1" customHeight="1" x14ac:dyDescent="0.45">
      <c r="C28" s="221"/>
      <c r="D28" s="221"/>
      <c r="E28" s="336" t="s">
        <v>67</v>
      </c>
      <c r="F28" s="226"/>
      <c r="G28" s="240">
        <v>18</v>
      </c>
      <c r="H28" s="337">
        <v>0</v>
      </c>
      <c r="I28" s="222">
        <v>0</v>
      </c>
      <c r="J28" s="222">
        <v>0</v>
      </c>
      <c r="K28" s="222">
        <f>H28-I28</f>
        <v>0</v>
      </c>
      <c r="L28" s="216"/>
      <c r="M28" s="8"/>
      <c r="N28" s="8"/>
      <c r="O28" s="272"/>
    </row>
    <row r="29" spans="3:15" ht="20.149999999999999" hidden="1" customHeight="1" x14ac:dyDescent="0.45">
      <c r="C29" s="221"/>
      <c r="D29" s="221"/>
      <c r="E29" s="336" t="s">
        <v>67</v>
      </c>
      <c r="F29" s="226"/>
      <c r="G29" s="240">
        <v>19</v>
      </c>
      <c r="H29" s="337">
        <v>0</v>
      </c>
      <c r="I29" s="222">
        <v>0</v>
      </c>
      <c r="J29" s="222">
        <v>0</v>
      </c>
      <c r="K29" s="222">
        <f>H29-I29</f>
        <v>0</v>
      </c>
      <c r="L29" s="216"/>
      <c r="M29" s="8"/>
      <c r="N29" s="8"/>
      <c r="O29" s="272"/>
    </row>
    <row r="30" spans="3:15" ht="20.149999999999999" hidden="1" customHeight="1" x14ac:dyDescent="0.45">
      <c r="C30" s="221"/>
      <c r="D30" s="221"/>
      <c r="E30" s="226" t="s">
        <v>67</v>
      </c>
      <c r="F30" s="226"/>
      <c r="G30" s="240">
        <v>20</v>
      </c>
      <c r="H30" s="223">
        <v>0</v>
      </c>
      <c r="I30" s="222">
        <v>0</v>
      </c>
      <c r="J30" s="222">
        <v>0</v>
      </c>
      <c r="K30" s="222">
        <f>H30-I30</f>
        <v>0</v>
      </c>
      <c r="L30" s="216"/>
      <c r="M30" s="8"/>
      <c r="N30" s="8"/>
    </row>
    <row r="31" spans="3:15" ht="20.149999999999999" hidden="1" customHeight="1" x14ac:dyDescent="0.75">
      <c r="C31" s="221"/>
      <c r="D31" s="221"/>
      <c r="E31" s="226" t="s">
        <v>67</v>
      </c>
      <c r="F31" s="226"/>
      <c r="G31" s="240">
        <v>27</v>
      </c>
      <c r="H31" s="265">
        <v>0</v>
      </c>
      <c r="I31" s="266">
        <v>0</v>
      </c>
      <c r="J31" s="266">
        <v>0</v>
      </c>
      <c r="K31" s="266">
        <f>H31-I31</f>
        <v>0</v>
      </c>
      <c r="L31" s="216"/>
      <c r="M31" s="44" t="s">
        <v>245</v>
      </c>
      <c r="N31" s="8"/>
      <c r="O31" t="s">
        <v>355</v>
      </c>
    </row>
    <row r="32" spans="3:15" ht="15" customHeight="1" x14ac:dyDescent="0.45">
      <c r="C32" s="221"/>
      <c r="D32" s="221"/>
      <c r="E32" s="226"/>
      <c r="F32" s="226"/>
      <c r="G32" s="240"/>
      <c r="H32" s="223"/>
      <c r="I32" s="222"/>
      <c r="J32" s="222"/>
      <c r="K32" s="222"/>
      <c r="L32" s="216"/>
      <c r="M32" s="44"/>
      <c r="N32" s="8"/>
    </row>
    <row r="33" spans="3:16" ht="15" customHeight="1" x14ac:dyDescent="0.45">
      <c r="C33" s="221"/>
      <c r="D33" s="221"/>
      <c r="E33" s="238" t="s">
        <v>65</v>
      </c>
      <c r="F33" s="221"/>
      <c r="G33" s="226"/>
      <c r="H33" s="288">
        <f>SUM(H18:H31)</f>
        <v>9909</v>
      </c>
      <c r="I33" s="296">
        <f>SUM(I18:I31)</f>
        <v>1750</v>
      </c>
      <c r="J33" s="288">
        <f>SUM(J18:J31)</f>
        <v>0</v>
      </c>
      <c r="K33" s="248">
        <f>SUM(K18:K31)</f>
        <v>8159</v>
      </c>
      <c r="L33" s="218"/>
      <c r="M33" s="44" t="s">
        <v>245</v>
      </c>
      <c r="N33" s="8"/>
      <c r="O33" s="7"/>
      <c r="P33" s="135"/>
    </row>
    <row r="34" spans="3:16" ht="15" customHeight="1" x14ac:dyDescent="0.45">
      <c r="C34" s="221"/>
      <c r="D34" s="221"/>
      <c r="E34" s="221"/>
      <c r="F34" s="221"/>
      <c r="G34" s="226"/>
      <c r="H34" s="224"/>
      <c r="I34" s="222"/>
      <c r="J34" s="222"/>
      <c r="K34" s="222"/>
      <c r="L34" s="216"/>
      <c r="M34" s="44"/>
      <c r="N34" s="8"/>
    </row>
    <row r="35" spans="3:16" ht="15.75" customHeight="1" x14ac:dyDescent="0.45">
      <c r="C35" s="220" t="s">
        <v>245</v>
      </c>
      <c r="D35" s="221"/>
      <c r="E35" s="221"/>
      <c r="F35" s="221"/>
      <c r="G35" s="226"/>
      <c r="H35" s="224"/>
      <c r="I35" s="222"/>
      <c r="J35" s="222"/>
      <c r="K35" s="248" t="s">
        <v>245</v>
      </c>
      <c r="L35" s="216"/>
      <c r="M35" s="44"/>
      <c r="N35" s="8"/>
      <c r="P35" s="135"/>
    </row>
    <row r="36" spans="3:16" ht="15" customHeight="1" x14ac:dyDescent="0.45">
      <c r="C36" s="221"/>
      <c r="D36" s="221"/>
      <c r="E36" s="221"/>
      <c r="F36" s="221"/>
      <c r="G36" s="226"/>
      <c r="H36" s="224"/>
      <c r="I36" s="222"/>
      <c r="J36" s="222"/>
      <c r="K36" s="222"/>
      <c r="L36" s="216"/>
      <c r="M36" s="44"/>
      <c r="N36" s="8"/>
    </row>
    <row r="37" spans="3:16" ht="15" customHeight="1" x14ac:dyDescent="0.45">
      <c r="C37" s="220" t="s">
        <v>748</v>
      </c>
      <c r="D37" s="220"/>
      <c r="E37" s="220"/>
      <c r="F37" s="220"/>
      <c r="G37" s="220"/>
      <c r="H37" s="220"/>
      <c r="I37" s="220"/>
      <c r="J37" s="297"/>
      <c r="K37" s="219" t="s">
        <v>245</v>
      </c>
      <c r="L37" s="219"/>
      <c r="M37" s="225" t="s">
        <v>245</v>
      </c>
      <c r="N37" s="8"/>
    </row>
    <row r="38" spans="3:16" ht="15" customHeight="1" x14ac:dyDescent="0.45">
      <c r="C38" s="220"/>
      <c r="D38" s="221"/>
      <c r="E38" s="221"/>
      <c r="F38" s="221"/>
      <c r="G38" s="221"/>
      <c r="H38" s="226"/>
      <c r="I38" s="230"/>
      <c r="J38" s="230"/>
      <c r="K38" s="219"/>
      <c r="L38" s="219"/>
      <c r="M38" s="225"/>
      <c r="N38" s="8"/>
    </row>
    <row r="39" spans="3:16" ht="22.95" customHeight="1" x14ac:dyDescent="0.85">
      <c r="C39" s="220"/>
      <c r="D39" s="221"/>
      <c r="E39" s="220" t="s">
        <v>674</v>
      </c>
      <c r="F39" s="220"/>
      <c r="G39" s="220"/>
      <c r="H39" s="220"/>
      <c r="I39" s="230"/>
      <c r="J39" s="230"/>
      <c r="K39" s="274">
        <v>0</v>
      </c>
      <c r="L39" s="219"/>
      <c r="M39" s="264">
        <f>K39+K33</f>
        <v>8159</v>
      </c>
      <c r="N39" s="8"/>
      <c r="O39" s="304"/>
      <c r="P39" s="135"/>
    </row>
    <row r="40" spans="3:16" ht="15" customHeight="1" x14ac:dyDescent="0.75">
      <c r="C40" s="242"/>
      <c r="D40" s="236"/>
      <c r="E40" s="243"/>
      <c r="F40" s="236"/>
      <c r="G40" s="226"/>
      <c r="H40" s="226"/>
      <c r="I40" s="226"/>
      <c r="J40" s="226"/>
      <c r="K40" s="222"/>
      <c r="L40" s="222"/>
      <c r="M40" s="244"/>
      <c r="N40" s="8"/>
    </row>
    <row r="41" spans="3:16" ht="15" hidden="1" customHeight="1" x14ac:dyDescent="0.45">
      <c r="C41" s="220" t="s">
        <v>442</v>
      </c>
      <c r="D41" s="220"/>
      <c r="E41" s="221"/>
      <c r="F41" s="221"/>
      <c r="G41" s="221"/>
      <c r="H41" s="221"/>
      <c r="I41" s="221"/>
      <c r="J41" s="221"/>
      <c r="K41" s="221"/>
      <c r="L41" s="221"/>
      <c r="M41" s="353"/>
      <c r="N41" s="8"/>
      <c r="P41" s="135"/>
    </row>
    <row r="42" spans="3:16" ht="18" hidden="1" customHeight="1" x14ac:dyDescent="0.45">
      <c r="C42" s="220"/>
      <c r="D42" s="220"/>
      <c r="E42" s="505" t="s">
        <v>767</v>
      </c>
      <c r="F42" s="505"/>
      <c r="G42" s="505"/>
      <c r="H42" s="221"/>
      <c r="I42" s="221"/>
      <c r="J42" s="221"/>
      <c r="K42" s="355">
        <v>0</v>
      </c>
      <c r="L42" s="221"/>
      <c r="M42" s="353"/>
      <c r="N42" s="8"/>
      <c r="P42" s="135"/>
    </row>
    <row r="43" spans="3:16" ht="18" hidden="1" customHeight="1" x14ac:dyDescent="0.55000000000000004">
      <c r="C43" s="220"/>
      <c r="D43" s="220"/>
      <c r="E43" s="505" t="s">
        <v>768</v>
      </c>
      <c r="F43" s="505"/>
      <c r="G43" s="505"/>
      <c r="H43" s="221"/>
      <c r="I43" s="221"/>
      <c r="J43" s="221"/>
      <c r="K43" s="413">
        <v>0</v>
      </c>
      <c r="L43" s="221"/>
      <c r="M43" s="300">
        <f>SUM(K42:K43)</f>
        <v>0</v>
      </c>
      <c r="N43" s="8"/>
    </row>
    <row r="44" spans="3:16" ht="20.149999999999999" customHeight="1" x14ac:dyDescent="0.45">
      <c r="C44" s="220" t="s">
        <v>313</v>
      </c>
      <c r="D44" s="220"/>
      <c r="E44" s="221"/>
      <c r="F44" s="221"/>
      <c r="G44" s="221"/>
      <c r="H44" s="221"/>
      <c r="I44" s="221"/>
      <c r="J44" s="221"/>
      <c r="K44" s="221"/>
      <c r="L44" s="247" t="s">
        <v>326</v>
      </c>
      <c r="M44" s="219">
        <f>+M39+M10+M43</f>
        <v>15337.360000000008</v>
      </c>
      <c r="N44" s="8"/>
      <c r="O44" t="s">
        <v>245</v>
      </c>
    </row>
    <row r="45" spans="3:16" ht="13.5" customHeight="1" x14ac:dyDescent="0.45">
      <c r="C45" s="220"/>
      <c r="D45" s="220"/>
      <c r="E45" s="221"/>
      <c r="F45" s="221"/>
      <c r="G45" s="221"/>
      <c r="H45" s="221"/>
      <c r="I45" s="221"/>
      <c r="J45" s="221"/>
      <c r="K45" s="221"/>
      <c r="L45" s="221"/>
      <c r="M45" s="221"/>
      <c r="N45" s="8"/>
    </row>
    <row r="46" spans="3:16" ht="13.5" customHeight="1" x14ac:dyDescent="0.45">
      <c r="C46" s="220"/>
      <c r="D46" s="220"/>
      <c r="E46" s="221"/>
      <c r="F46" s="221"/>
      <c r="G46" s="221"/>
      <c r="H46" s="221"/>
      <c r="I46" s="221"/>
      <c r="J46" s="221"/>
      <c r="K46" s="221"/>
      <c r="L46" s="221"/>
      <c r="M46" s="221"/>
      <c r="N46" s="8"/>
    </row>
    <row r="47" spans="3:16" ht="13.5" customHeight="1" x14ac:dyDescent="0.45">
      <c r="C47" s="220" t="s">
        <v>824</v>
      </c>
      <c r="D47" s="220"/>
      <c r="E47" s="221"/>
      <c r="F47" s="221"/>
      <c r="G47" s="221"/>
      <c r="H47" s="221"/>
      <c r="I47" s="221"/>
      <c r="J47" s="221"/>
      <c r="K47" s="221"/>
      <c r="L47" s="221"/>
      <c r="M47" s="221"/>
      <c r="N47" s="8"/>
    </row>
    <row r="48" spans="3:16" ht="15" customHeight="1" x14ac:dyDescent="0.45">
      <c r="C48" s="221" t="s">
        <v>245</v>
      </c>
      <c r="D48" s="221"/>
      <c r="E48" s="221" t="s">
        <v>245</v>
      </c>
      <c r="F48" s="221"/>
      <c r="G48" s="221"/>
      <c r="H48" s="221"/>
      <c r="I48" s="221"/>
      <c r="J48" s="221"/>
      <c r="K48" s="221"/>
      <c r="L48" s="221"/>
      <c r="M48" s="221"/>
      <c r="N48" s="8"/>
    </row>
    <row r="49" spans="3:14" ht="15" customHeight="1" x14ac:dyDescent="0.45">
      <c r="C49" s="239" t="s">
        <v>5</v>
      </c>
      <c r="D49" s="226"/>
      <c r="E49" s="226" t="s">
        <v>257</v>
      </c>
      <c r="F49" s="226"/>
      <c r="G49" s="487" t="s">
        <v>373</v>
      </c>
      <c r="H49" s="487"/>
      <c r="I49" s="487"/>
      <c r="J49" s="236"/>
      <c r="K49" s="236" t="s">
        <v>123</v>
      </c>
      <c r="L49" s="221"/>
      <c r="M49" s="226" t="s">
        <v>245</v>
      </c>
      <c r="N49" s="19"/>
    </row>
    <row r="50" spans="3:14" ht="15" customHeight="1" x14ac:dyDescent="0.45">
      <c r="C50" s="226"/>
      <c r="D50" s="226"/>
      <c r="E50" s="226"/>
      <c r="F50" s="226"/>
      <c r="G50" s="221"/>
      <c r="H50" s="221"/>
      <c r="I50" s="221"/>
      <c r="J50" s="221"/>
      <c r="K50" s="221"/>
      <c r="L50" s="221"/>
      <c r="M50" s="226"/>
      <c r="N50" s="19"/>
    </row>
    <row r="51" spans="3:14" ht="20.149999999999999" customHeight="1" x14ac:dyDescent="0.45">
      <c r="C51" s="292" t="s">
        <v>829</v>
      </c>
      <c r="D51" s="226"/>
      <c r="E51" s="226"/>
      <c r="F51" s="226"/>
      <c r="G51" s="228" t="s">
        <v>834</v>
      </c>
      <c r="H51" s="221"/>
      <c r="I51" s="221"/>
      <c r="J51" s="221"/>
      <c r="K51" s="222">
        <v>500</v>
      </c>
      <c r="L51" s="221"/>
      <c r="M51" s="226"/>
      <c r="N51" s="19"/>
    </row>
    <row r="52" spans="3:14" ht="20.149999999999999" hidden="1" customHeight="1" x14ac:dyDescent="0.45">
      <c r="C52" s="292"/>
      <c r="D52" s="226"/>
      <c r="E52" s="226"/>
      <c r="F52" s="226"/>
      <c r="G52" s="228"/>
      <c r="H52" s="221" t="s">
        <v>796</v>
      </c>
      <c r="I52" s="221"/>
      <c r="J52" s="221"/>
      <c r="K52" s="222"/>
      <c r="L52" s="221"/>
      <c r="M52" s="226"/>
      <c r="N52" s="19"/>
    </row>
    <row r="53" spans="3:14" ht="20.149999999999999" customHeight="1" x14ac:dyDescent="0.45">
      <c r="C53" s="292" t="s">
        <v>829</v>
      </c>
      <c r="D53" s="226"/>
      <c r="E53" s="226"/>
      <c r="F53" s="226"/>
      <c r="G53" s="228" t="s">
        <v>751</v>
      </c>
      <c r="H53" s="221"/>
      <c r="I53" s="221"/>
      <c r="J53" s="221"/>
      <c r="K53" s="222">
        <v>281.2</v>
      </c>
      <c r="L53" s="221"/>
      <c r="M53" s="226"/>
      <c r="N53" s="19"/>
    </row>
    <row r="54" spans="3:14" ht="20.149999999999999" hidden="1" customHeight="1" x14ac:dyDescent="0.45">
      <c r="C54" s="292" t="s">
        <v>829</v>
      </c>
      <c r="D54" s="226"/>
      <c r="E54" s="226"/>
      <c r="F54" s="226"/>
      <c r="G54" s="228"/>
      <c r="H54" s="221" t="s">
        <v>798</v>
      </c>
      <c r="I54" s="221"/>
      <c r="J54" s="221"/>
      <c r="K54" s="222"/>
      <c r="L54" s="221"/>
      <c r="M54" s="226"/>
      <c r="N54" s="19"/>
    </row>
    <row r="55" spans="3:14" ht="20.149999999999999" customHeight="1" x14ac:dyDescent="0.45">
      <c r="C55" s="292" t="s">
        <v>829</v>
      </c>
      <c r="D55" s="226"/>
      <c r="E55" s="226"/>
      <c r="F55" s="226"/>
      <c r="G55" s="286" t="s">
        <v>835</v>
      </c>
      <c r="H55" s="221"/>
      <c r="I55" s="221"/>
      <c r="J55" s="221"/>
      <c r="K55" s="222">
        <v>275</v>
      </c>
      <c r="L55" s="221"/>
      <c r="M55" s="226"/>
      <c r="N55" s="19"/>
    </row>
    <row r="56" spans="3:14" ht="20.149999999999999" customHeight="1" x14ac:dyDescent="0.45">
      <c r="C56" s="292" t="s">
        <v>830</v>
      </c>
      <c r="D56" s="226"/>
      <c r="E56" s="226"/>
      <c r="F56" s="226"/>
      <c r="G56" s="228" t="s">
        <v>836</v>
      </c>
      <c r="H56" s="221"/>
      <c r="I56" s="221"/>
      <c r="J56" s="221"/>
      <c r="K56" s="222">
        <v>419.12</v>
      </c>
      <c r="L56" s="221"/>
      <c r="M56" s="226"/>
      <c r="N56" s="19"/>
    </row>
    <row r="57" spans="3:14" ht="20.149999999999999" customHeight="1" x14ac:dyDescent="0.45">
      <c r="C57" s="292" t="s">
        <v>831</v>
      </c>
      <c r="D57" s="226"/>
      <c r="E57" s="226"/>
      <c r="F57" s="226"/>
      <c r="G57" s="286" t="s">
        <v>835</v>
      </c>
      <c r="H57" s="221"/>
      <c r="I57" s="221"/>
      <c r="J57" s="221"/>
      <c r="K57" s="222">
        <v>1347.7</v>
      </c>
      <c r="L57" s="221"/>
      <c r="M57" s="226"/>
      <c r="N57" s="19"/>
    </row>
    <row r="58" spans="3:14" ht="20.149999999999999" customHeight="1" x14ac:dyDescent="0.45">
      <c r="C58" s="292" t="s">
        <v>832</v>
      </c>
      <c r="D58" s="226"/>
      <c r="E58" s="226"/>
      <c r="F58" s="226"/>
      <c r="G58" s="228" t="s">
        <v>837</v>
      </c>
      <c r="H58" s="221"/>
      <c r="I58" s="221"/>
      <c r="J58" s="221"/>
      <c r="K58" s="222">
        <v>1500</v>
      </c>
      <c r="L58" s="221"/>
      <c r="M58" s="226"/>
      <c r="N58" s="19"/>
    </row>
    <row r="59" spans="3:14" ht="20.149999999999999" hidden="1" customHeight="1" x14ac:dyDescent="0.45">
      <c r="C59" s="292" t="s">
        <v>833</v>
      </c>
      <c r="D59" s="226"/>
      <c r="E59" s="226"/>
      <c r="F59" s="226"/>
      <c r="G59" s="228" t="s">
        <v>806</v>
      </c>
      <c r="H59" s="221"/>
      <c r="I59" s="221"/>
      <c r="J59" s="221"/>
      <c r="K59" s="222">
        <v>0</v>
      </c>
      <c r="L59" s="221"/>
      <c r="M59" s="226"/>
      <c r="N59" s="19"/>
    </row>
    <row r="60" spans="3:14" ht="20.149999999999999" hidden="1" customHeight="1" x14ac:dyDescent="0.45">
      <c r="C60" s="292" t="s">
        <v>829</v>
      </c>
      <c r="D60" s="226"/>
      <c r="E60" s="226"/>
      <c r="F60" s="226"/>
      <c r="G60" s="228" t="s">
        <v>809</v>
      </c>
      <c r="H60" s="221"/>
      <c r="I60" s="221"/>
      <c r="J60" s="221"/>
      <c r="K60" s="222">
        <v>0</v>
      </c>
      <c r="L60" s="221"/>
      <c r="M60" s="226"/>
      <c r="N60" s="19"/>
    </row>
    <row r="61" spans="3:14" ht="20.149999999999999" hidden="1" customHeight="1" x14ac:dyDescent="0.45">
      <c r="C61" s="292" t="s">
        <v>815</v>
      </c>
      <c r="D61" s="226"/>
      <c r="E61" s="226"/>
      <c r="F61" s="226"/>
      <c r="G61" s="228" t="s">
        <v>810</v>
      </c>
      <c r="H61" s="221"/>
      <c r="I61" s="221"/>
      <c r="J61" s="221"/>
      <c r="K61" s="222">
        <v>0</v>
      </c>
      <c r="L61" s="221"/>
      <c r="M61" s="226"/>
      <c r="N61" s="19"/>
    </row>
    <row r="62" spans="3:14" ht="20.149999999999999" hidden="1" customHeight="1" x14ac:dyDescent="0.45">
      <c r="C62" s="292" t="s">
        <v>816</v>
      </c>
      <c r="D62" s="226"/>
      <c r="E62" s="226"/>
      <c r="F62" s="226"/>
      <c r="G62" s="228" t="s">
        <v>811</v>
      </c>
      <c r="H62" s="221"/>
      <c r="I62" s="221"/>
      <c r="J62" s="221"/>
      <c r="K62" s="222">
        <v>0</v>
      </c>
      <c r="L62" s="221"/>
      <c r="M62" s="226"/>
      <c r="N62" s="19"/>
    </row>
    <row r="63" spans="3:14" ht="20.149999999999999" hidden="1" customHeight="1" x14ac:dyDescent="0.45">
      <c r="C63" s="292" t="s">
        <v>817</v>
      </c>
      <c r="D63" s="226"/>
      <c r="E63" s="226"/>
      <c r="F63" s="226"/>
      <c r="G63" s="228" t="s">
        <v>812</v>
      </c>
      <c r="H63" s="221"/>
      <c r="I63" s="221"/>
      <c r="J63" s="221"/>
      <c r="K63" s="222">
        <v>0</v>
      </c>
      <c r="L63" s="221"/>
      <c r="M63" s="226"/>
      <c r="N63" s="19"/>
    </row>
    <row r="64" spans="3:14" ht="20.149999999999999" customHeight="1" x14ac:dyDescent="0.85">
      <c r="C64" s="323" t="s">
        <v>833</v>
      </c>
      <c r="D64" s="438"/>
      <c r="E64" s="438"/>
      <c r="F64" s="438"/>
      <c r="G64" s="286" t="s">
        <v>838</v>
      </c>
      <c r="H64" s="287"/>
      <c r="I64" s="287"/>
      <c r="J64" s="287"/>
      <c r="K64" s="437">
        <v>807.3</v>
      </c>
      <c r="L64" s="221"/>
      <c r="M64" s="410">
        <f>SUM(K51:K64)</f>
        <v>5130.3200000000006</v>
      </c>
      <c r="N64" s="19"/>
    </row>
    <row r="65" spans="2:19" ht="20.149999999999999" customHeight="1" x14ac:dyDescent="0.75">
      <c r="C65" s="292" t="s">
        <v>245</v>
      </c>
      <c r="D65" s="226"/>
      <c r="E65" s="226"/>
      <c r="F65" s="226"/>
      <c r="G65" s="228"/>
      <c r="H65" s="221"/>
      <c r="I65" s="221"/>
      <c r="J65" s="221"/>
      <c r="K65" s="222"/>
      <c r="L65" s="222"/>
      <c r="M65" s="266"/>
      <c r="N65" s="19"/>
    </row>
    <row r="66" spans="2:19" ht="20.149999999999999" customHeight="1" x14ac:dyDescent="0.45">
      <c r="C66" s="220" t="s">
        <v>327</v>
      </c>
      <c r="D66" s="220"/>
      <c r="E66" s="221"/>
      <c r="F66" s="221"/>
      <c r="G66" s="221"/>
      <c r="H66" s="221"/>
      <c r="I66" s="221"/>
      <c r="J66" s="221"/>
      <c r="K66" s="221"/>
      <c r="L66" s="221"/>
      <c r="M66" s="231">
        <f>M44-M64</f>
        <v>10207.040000000008</v>
      </c>
      <c r="N66" s="44"/>
      <c r="O66" t="s">
        <v>245</v>
      </c>
      <c r="P66" s="7" t="s">
        <v>245</v>
      </c>
    </row>
    <row r="67" spans="2:19" ht="13.5" customHeight="1" x14ac:dyDescent="0.45">
      <c r="C67" s="221"/>
      <c r="D67" s="221"/>
      <c r="E67" s="221"/>
      <c r="F67" s="221"/>
      <c r="G67" s="221"/>
      <c r="H67" s="221"/>
      <c r="I67" s="221"/>
      <c r="J67" s="221"/>
      <c r="K67" s="221"/>
      <c r="L67" s="221"/>
      <c r="M67" s="225"/>
      <c r="N67" s="44"/>
    </row>
    <row r="68" spans="2:19" ht="20.149999999999999" customHeight="1" x14ac:dyDescent="0.45">
      <c r="C68" s="220" t="s">
        <v>825</v>
      </c>
      <c r="D68" s="221"/>
      <c r="E68" s="221"/>
      <c r="F68" s="221"/>
      <c r="G68" s="221"/>
      <c r="H68" s="221"/>
      <c r="I68" s="221"/>
      <c r="J68" s="221"/>
      <c r="K68" s="221"/>
      <c r="L68" s="221"/>
      <c r="M68" s="393">
        <v>7178.36</v>
      </c>
      <c r="N68" s="44"/>
    </row>
    <row r="69" spans="2:19" ht="20.149999999999999" hidden="1" customHeight="1" x14ac:dyDescent="0.85">
      <c r="C69" s="220"/>
      <c r="D69" s="221"/>
      <c r="E69" s="505" t="s">
        <v>769</v>
      </c>
      <c r="F69" s="505"/>
      <c r="G69" s="505"/>
      <c r="H69" s="221"/>
      <c r="I69" s="221"/>
      <c r="J69" s="221"/>
      <c r="K69" s="411">
        <v>0</v>
      </c>
      <c r="L69" s="221"/>
      <c r="M69" s="264"/>
      <c r="N69" s="44"/>
    </row>
    <row r="70" spans="2:19" ht="20.149999999999999" hidden="1" customHeight="1" x14ac:dyDescent="0.85">
      <c r="C70" s="220"/>
      <c r="D70" s="221"/>
      <c r="E70" s="505" t="s">
        <v>769</v>
      </c>
      <c r="F70" s="505"/>
      <c r="G70" s="505"/>
      <c r="H70" s="221"/>
      <c r="I70" s="221"/>
      <c r="J70" s="221"/>
      <c r="K70" s="412">
        <v>0</v>
      </c>
      <c r="L70" s="221"/>
      <c r="M70" s="264">
        <f>SUM(K69:K70)</f>
        <v>0</v>
      </c>
      <c r="N70" s="44"/>
      <c r="O70">
        <v>12450</v>
      </c>
      <c r="P70" s="135">
        <f>K70-O70</f>
        <v>-12450</v>
      </c>
    </row>
    <row r="71" spans="2:19" ht="13.5" customHeight="1" x14ac:dyDescent="0.45">
      <c r="C71" s="221"/>
      <c r="D71" s="221"/>
      <c r="E71" s="221"/>
      <c r="F71" s="221"/>
      <c r="G71" s="221"/>
      <c r="H71" s="221"/>
      <c r="I71" s="221"/>
      <c r="J71" s="221"/>
      <c r="K71" s="221"/>
      <c r="L71" s="221"/>
      <c r="M71" s="225"/>
      <c r="N71" s="44"/>
    </row>
    <row r="72" spans="2:19" ht="24.45" customHeight="1" thickBot="1" x14ac:dyDescent="0.5">
      <c r="C72" s="220" t="s">
        <v>826</v>
      </c>
      <c r="D72" s="221"/>
      <c r="E72" s="221"/>
      <c r="F72" s="221"/>
      <c r="G72" s="221"/>
      <c r="H72" s="221"/>
      <c r="I72" s="221"/>
      <c r="J72" s="221"/>
      <c r="K72" s="221"/>
      <c r="L72" s="245" t="s">
        <v>326</v>
      </c>
      <c r="M72" s="232">
        <f>M66-M68</f>
        <v>3028.6800000000085</v>
      </c>
      <c r="N72" s="8"/>
      <c r="O72" s="2">
        <v>3028.68</v>
      </c>
      <c r="P72" s="135">
        <f>M72-O72</f>
        <v>8.6401996668428183E-12</v>
      </c>
      <c r="Q72" s="135" t="s">
        <v>245</v>
      </c>
      <c r="R72" s="135" t="s">
        <v>712</v>
      </c>
      <c r="S72" s="135"/>
    </row>
    <row r="73" spans="2:19" ht="13.5" customHeight="1" thickTop="1" x14ac:dyDescent="0.45">
      <c r="C73" s="221"/>
      <c r="D73" s="221"/>
      <c r="E73" s="220"/>
      <c r="F73" s="220"/>
      <c r="G73" s="221"/>
      <c r="H73" s="221"/>
      <c r="I73" s="221"/>
      <c r="J73" s="221"/>
      <c r="K73" s="221"/>
      <c r="L73" s="221"/>
      <c r="M73" s="221"/>
      <c r="N73" s="8"/>
      <c r="O73" s="270"/>
    </row>
    <row r="74" spans="2:19" ht="13.5" customHeight="1" thickBot="1" x14ac:dyDescent="0.45">
      <c r="C74" s="8"/>
      <c r="D74" s="8"/>
      <c r="E74" s="13"/>
      <c r="F74" s="13"/>
      <c r="G74" s="8"/>
      <c r="H74" s="8"/>
      <c r="I74" s="8"/>
      <c r="J74" s="8"/>
      <c r="K74" s="8"/>
      <c r="L74" s="8"/>
      <c r="M74" s="8"/>
      <c r="N74" s="8"/>
    </row>
    <row r="75" spans="2:19" ht="13.5" customHeight="1" x14ac:dyDescent="0.45">
      <c r="B75" s="251"/>
      <c r="C75" s="493" t="s">
        <v>789</v>
      </c>
      <c r="D75" s="493"/>
      <c r="E75" s="493"/>
      <c r="F75" s="493"/>
      <c r="G75" s="493"/>
      <c r="H75" s="493"/>
      <c r="I75" s="252"/>
      <c r="J75" s="252"/>
      <c r="K75" s="252"/>
      <c r="L75" s="483" t="s">
        <v>326</v>
      </c>
      <c r="M75" s="479">
        <v>22931.32</v>
      </c>
      <c r="N75" s="253"/>
    </row>
    <row r="76" spans="2:19" ht="11.15" customHeight="1" x14ac:dyDescent="0.4">
      <c r="B76" s="254"/>
      <c r="C76" s="494"/>
      <c r="D76" s="494"/>
      <c r="E76" s="494"/>
      <c r="F76" s="494"/>
      <c r="G76" s="494"/>
      <c r="H76" s="494"/>
      <c r="I76" s="220"/>
      <c r="J76" s="220"/>
      <c r="K76" s="220"/>
      <c r="L76" s="484"/>
      <c r="M76" s="503"/>
      <c r="N76" s="255"/>
    </row>
    <row r="77" spans="2:19" ht="16.2" customHeight="1" x14ac:dyDescent="0.4">
      <c r="B77" s="256"/>
      <c r="C77" s="496" t="s">
        <v>790</v>
      </c>
      <c r="D77" s="496"/>
      <c r="E77" s="496"/>
      <c r="F77" s="496"/>
      <c r="G77" s="496"/>
      <c r="H77" s="496"/>
      <c r="I77" s="233"/>
      <c r="J77" s="233"/>
      <c r="K77" s="307" t="s">
        <v>245</v>
      </c>
      <c r="L77" s="233"/>
      <c r="M77" s="261">
        <v>7178.36</v>
      </c>
      <c r="N77" s="174"/>
    </row>
    <row r="78" spans="2:19" ht="16.2" customHeight="1" thickBot="1" x14ac:dyDescent="0.5">
      <c r="B78" s="254"/>
      <c r="C78" s="497" t="s">
        <v>322</v>
      </c>
      <c r="D78" s="497"/>
      <c r="E78" s="497"/>
      <c r="F78" s="497"/>
      <c r="G78" s="497"/>
      <c r="H78" s="497"/>
      <c r="I78" s="302"/>
      <c r="J78" s="302"/>
      <c r="K78" s="303"/>
      <c r="L78" s="303"/>
      <c r="M78" s="261">
        <f>2.56-0.51</f>
        <v>2.0499999999999998</v>
      </c>
      <c r="N78" s="255"/>
    </row>
    <row r="79" spans="2:19" ht="16.2" hidden="1" customHeight="1" x14ac:dyDescent="0.45">
      <c r="B79" s="254"/>
      <c r="C79" s="496" t="s">
        <v>776</v>
      </c>
      <c r="D79" s="496"/>
      <c r="E79" s="496"/>
      <c r="F79" s="496"/>
      <c r="G79" s="496"/>
      <c r="H79" s="496"/>
      <c r="I79" s="221"/>
      <c r="J79" s="221"/>
      <c r="K79" s="230"/>
      <c r="L79" s="230"/>
      <c r="M79" s="262">
        <v>0</v>
      </c>
      <c r="N79" s="255"/>
    </row>
    <row r="80" spans="2:19" ht="13.5" customHeight="1" x14ac:dyDescent="0.4">
      <c r="B80" s="251"/>
      <c r="C80" s="498" t="s">
        <v>827</v>
      </c>
      <c r="D80" s="498"/>
      <c r="E80" s="498"/>
      <c r="F80" s="498"/>
      <c r="G80" s="498"/>
      <c r="H80" s="498"/>
      <c r="I80" s="260"/>
      <c r="J80" s="260"/>
      <c r="K80" s="260"/>
      <c r="L80" s="485" t="s">
        <v>326</v>
      </c>
      <c r="M80" s="477">
        <f>SUM(M75:M78)-M79</f>
        <v>30111.73</v>
      </c>
      <c r="N80" s="253"/>
    </row>
    <row r="81" spans="2:16" ht="13.5" customHeight="1" thickBot="1" x14ac:dyDescent="0.45">
      <c r="B81" s="257"/>
      <c r="C81" s="499"/>
      <c r="D81" s="499"/>
      <c r="E81" s="499"/>
      <c r="F81" s="499"/>
      <c r="G81" s="499"/>
      <c r="H81" s="499"/>
      <c r="I81" s="258"/>
      <c r="J81" s="258"/>
      <c r="K81" s="258"/>
      <c r="L81" s="486"/>
      <c r="M81" s="478"/>
      <c r="N81" s="259"/>
      <c r="O81" s="135" t="s">
        <v>245</v>
      </c>
      <c r="P81" s="135" t="s">
        <v>245</v>
      </c>
    </row>
    <row r="82" spans="2:16" ht="13.5" customHeight="1" x14ac:dyDescent="0.4">
      <c r="C82" s="8"/>
      <c r="D82" s="8"/>
      <c r="E82" s="13"/>
      <c r="F82" s="13"/>
      <c r="G82" s="13"/>
      <c r="H82" s="13"/>
      <c r="I82" s="13"/>
      <c r="J82" s="13"/>
      <c r="K82" s="13"/>
      <c r="L82" s="13"/>
      <c r="M82" s="15" t="s">
        <v>245</v>
      </c>
      <c r="N82" s="8"/>
    </row>
    <row r="83" spans="2:16" ht="13.5" customHeight="1" x14ac:dyDescent="0.4">
      <c r="C83" s="8"/>
      <c r="D83" s="8"/>
      <c r="E83" s="13"/>
      <c r="F83" s="13"/>
      <c r="G83" s="13"/>
      <c r="H83" s="13"/>
      <c r="I83" s="13"/>
      <c r="J83" s="13"/>
      <c r="K83" s="13"/>
      <c r="L83" s="13"/>
      <c r="M83" s="15"/>
      <c r="N83" s="8"/>
    </row>
    <row r="84" spans="2:16" ht="13.5" customHeight="1" x14ac:dyDescent="0.4">
      <c r="C84" s="8"/>
      <c r="D84" s="8"/>
      <c r="E84" s="13"/>
      <c r="F84" s="13"/>
      <c r="G84" s="13"/>
      <c r="H84" s="13"/>
      <c r="I84" s="13"/>
      <c r="J84" s="13"/>
      <c r="K84" s="13"/>
      <c r="L84" s="13"/>
      <c r="M84" s="15"/>
      <c r="N84" s="8"/>
    </row>
    <row r="85" spans="2:16" ht="13.5" customHeight="1" x14ac:dyDescent="0.4">
      <c r="C85" s="237" t="s">
        <v>13</v>
      </c>
      <c r="D85" s="235"/>
      <c r="E85" s="235"/>
      <c r="F85" s="235"/>
      <c r="G85" s="237" t="s">
        <v>82</v>
      </c>
      <c r="H85" s="235"/>
      <c r="I85" s="237" t="s">
        <v>289</v>
      </c>
      <c r="J85" s="237"/>
      <c r="K85" s="235"/>
      <c r="L85" s="235"/>
      <c r="M85" s="235" t="s">
        <v>261</v>
      </c>
      <c r="N85" s="8"/>
    </row>
    <row r="86" spans="2:16" ht="13.5" customHeight="1" x14ac:dyDescent="0.4"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</row>
    <row r="87" spans="2:16" ht="20.149999999999999" customHeight="1" x14ac:dyDescent="0.4">
      <c r="C87" s="234" t="s">
        <v>290</v>
      </c>
      <c r="D87" s="235"/>
      <c r="E87" s="235"/>
      <c r="F87" s="235"/>
      <c r="G87" s="234" t="s">
        <v>14</v>
      </c>
      <c r="H87" s="235"/>
      <c r="I87" s="234" t="s">
        <v>17</v>
      </c>
      <c r="J87" s="234"/>
      <c r="K87" s="235"/>
      <c r="L87" s="235"/>
      <c r="M87" s="234" t="s">
        <v>8</v>
      </c>
      <c r="N87" s="8"/>
    </row>
    <row r="88" spans="2:16" ht="13.5" customHeight="1" x14ac:dyDescent="0.4">
      <c r="C88" s="19" t="s">
        <v>317</v>
      </c>
      <c r="D88" s="8"/>
      <c r="E88" s="8"/>
      <c r="F88" s="8"/>
      <c r="G88" s="19" t="s">
        <v>15</v>
      </c>
      <c r="H88" s="8"/>
      <c r="I88" s="19" t="s">
        <v>292</v>
      </c>
      <c r="J88" s="19"/>
      <c r="K88" s="8"/>
      <c r="L88" s="8"/>
      <c r="M88" s="19" t="s">
        <v>262</v>
      </c>
      <c r="N88" s="8"/>
    </row>
    <row r="89" spans="2:16" ht="13.5" customHeight="1" x14ac:dyDescent="0.4"/>
    <row r="90" spans="2:16" ht="13.5" customHeight="1" x14ac:dyDescent="0.4"/>
    <row r="91" spans="2:16" ht="13.5" customHeight="1" x14ac:dyDescent="0.4"/>
    <row r="92" spans="2:16" ht="13.5" customHeight="1" x14ac:dyDescent="0.4"/>
    <row r="93" spans="2:16" ht="13.5" customHeight="1" x14ac:dyDescent="0.4"/>
    <row r="94" spans="2:16" ht="13.5" customHeight="1" x14ac:dyDescent="0.4"/>
  </sheetData>
  <mergeCells count="21">
    <mergeCell ref="E70:G70"/>
    <mergeCell ref="C4:N4"/>
    <mergeCell ref="C5:M5"/>
    <mergeCell ref="C6:M6"/>
    <mergeCell ref="C7:M7"/>
    <mergeCell ref="C8:M8"/>
    <mergeCell ref="C14:E14"/>
    <mergeCell ref="C16:E16"/>
    <mergeCell ref="E42:G42"/>
    <mergeCell ref="E43:G43"/>
    <mergeCell ref="G49:I49"/>
    <mergeCell ref="E69:G69"/>
    <mergeCell ref="C80:H81"/>
    <mergeCell ref="L80:L81"/>
    <mergeCell ref="M80:M81"/>
    <mergeCell ref="C75:H76"/>
    <mergeCell ref="L75:L76"/>
    <mergeCell ref="M75:M76"/>
    <mergeCell ref="C77:H77"/>
    <mergeCell ref="C78:H78"/>
    <mergeCell ref="C79:H79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B2CBE7-D3AE-4D4F-8923-8464BB679506}">
  <dimension ref="B2:P74"/>
  <sheetViews>
    <sheetView topLeftCell="A21" workbookViewId="0">
      <selection activeCell="F37" sqref="F37"/>
    </sheetView>
  </sheetViews>
  <sheetFormatPr defaultRowHeight="14.6" x14ac:dyDescent="0.4"/>
  <cols>
    <col min="1" max="1" width="2.3046875" customWidth="1"/>
    <col min="2" max="2" width="13.3046875" customWidth="1"/>
    <col min="3" max="3" width="4.84375" customWidth="1"/>
    <col min="4" max="4" width="12.3046875" customWidth="1"/>
    <col min="5" max="5" width="1.53515625" customWidth="1"/>
    <col min="6" max="6" width="19.84375" customWidth="1"/>
    <col min="7" max="7" width="22.3046875" customWidth="1"/>
    <col min="8" max="8" width="23.3046875" hidden="1" customWidth="1"/>
    <col min="9" max="9" width="13.69140625" customWidth="1"/>
    <col min="10" max="10" width="12.07421875" customWidth="1"/>
    <col min="11" max="12" width="12.3046875" customWidth="1"/>
    <col min="13" max="13" width="11.53515625" customWidth="1"/>
    <col min="14" max="14" width="12.4609375" customWidth="1"/>
    <col min="15" max="15" width="10.69140625" customWidth="1"/>
    <col min="16" max="16" width="12" customWidth="1"/>
  </cols>
  <sheetData>
    <row r="2" spans="2:12" x14ac:dyDescent="0.4">
      <c r="B2" s="246" t="s">
        <v>329</v>
      </c>
    </row>
    <row r="3" spans="2:12" x14ac:dyDescent="0.4">
      <c r="B3" s="246"/>
    </row>
    <row r="4" spans="2:12" x14ac:dyDescent="0.4">
      <c r="B4" s="246"/>
    </row>
    <row r="5" spans="2:12" x14ac:dyDescent="0.4">
      <c r="B5" s="246"/>
    </row>
    <row r="6" spans="2:12" x14ac:dyDescent="0.4">
      <c r="B6" s="246"/>
    </row>
    <row r="7" spans="2:12" ht="14.15" customHeight="1" x14ac:dyDescent="0.4">
      <c r="B7" s="468" t="s">
        <v>0</v>
      </c>
      <c r="C7" s="468"/>
      <c r="D7" s="468"/>
      <c r="E7" s="468"/>
      <c r="F7" s="468"/>
      <c r="G7" s="468"/>
      <c r="H7" s="468"/>
      <c r="I7" s="468"/>
      <c r="J7" s="468"/>
      <c r="K7" s="468"/>
      <c r="L7" s="468"/>
    </row>
    <row r="8" spans="2:12" ht="14.15" customHeight="1" x14ac:dyDescent="0.4">
      <c r="B8" s="19"/>
      <c r="C8" s="19"/>
      <c r="D8" s="19"/>
      <c r="E8" s="19"/>
      <c r="F8" s="19"/>
      <c r="G8" s="19" t="s">
        <v>18</v>
      </c>
      <c r="H8" s="19"/>
      <c r="I8" s="19"/>
      <c r="J8" s="19"/>
      <c r="K8" s="19"/>
      <c r="L8" s="1"/>
    </row>
    <row r="9" spans="2:12" ht="14.15" customHeight="1" x14ac:dyDescent="0.4">
      <c r="B9" s="8"/>
      <c r="C9" s="8"/>
      <c r="D9" s="8"/>
      <c r="E9" s="8"/>
      <c r="F9" s="473" t="s">
        <v>820</v>
      </c>
      <c r="G9" s="473"/>
      <c r="H9" s="473"/>
      <c r="I9" s="473"/>
      <c r="J9" s="473"/>
      <c r="K9" s="8"/>
    </row>
    <row r="10" spans="2:12" ht="14.15" customHeight="1" thickBot="1" x14ac:dyDescent="0.45">
      <c r="B10" s="8"/>
      <c r="C10" s="8"/>
      <c r="D10" s="8"/>
      <c r="E10" s="8"/>
      <c r="F10" s="8"/>
      <c r="G10" s="8"/>
      <c r="H10" s="8"/>
      <c r="I10" s="8"/>
      <c r="J10" s="8"/>
      <c r="K10" s="8"/>
    </row>
    <row r="11" spans="2:12" ht="21.75" customHeight="1" x14ac:dyDescent="0.4">
      <c r="B11" s="308"/>
      <c r="C11" s="309"/>
      <c r="D11" s="310"/>
      <c r="E11" s="309"/>
      <c r="F11" s="311"/>
      <c r="G11" s="500" t="s">
        <v>304</v>
      </c>
      <c r="H11" s="500" t="s">
        <v>299</v>
      </c>
      <c r="I11" s="500" t="s">
        <v>293</v>
      </c>
      <c r="J11" s="502" t="s">
        <v>301</v>
      </c>
      <c r="K11" s="502"/>
      <c r="L11" s="500" t="s">
        <v>296</v>
      </c>
    </row>
    <row r="12" spans="2:12" ht="30" customHeight="1" thickBot="1" x14ac:dyDescent="0.45">
      <c r="B12" s="312" t="s">
        <v>5</v>
      </c>
      <c r="C12" s="313"/>
      <c r="D12" s="314" t="s">
        <v>309</v>
      </c>
      <c r="E12" s="313"/>
      <c r="F12" s="315" t="s">
        <v>1</v>
      </c>
      <c r="G12" s="501"/>
      <c r="H12" s="501"/>
      <c r="I12" s="501"/>
      <c r="J12" s="316" t="s">
        <v>302</v>
      </c>
      <c r="K12" s="317" t="s">
        <v>303</v>
      </c>
      <c r="L12" s="501"/>
    </row>
    <row r="13" spans="2:12" ht="16.2" customHeight="1" x14ac:dyDescent="0.4">
      <c r="B13" s="137" t="s">
        <v>342</v>
      </c>
      <c r="C13" s="19"/>
      <c r="D13" s="155"/>
      <c r="E13" s="19"/>
      <c r="F13" s="170"/>
      <c r="G13" s="110"/>
      <c r="H13" s="110"/>
      <c r="I13" s="157"/>
      <c r="J13" s="178"/>
      <c r="K13" s="183"/>
      <c r="L13" s="186"/>
    </row>
    <row r="14" spans="2:12" ht="16.2" customHeight="1" x14ac:dyDescent="0.4">
      <c r="B14" s="138" t="s">
        <v>30</v>
      </c>
      <c r="C14" s="139" t="s">
        <v>245</v>
      </c>
      <c r="D14" s="140">
        <v>2936</v>
      </c>
      <c r="E14" s="141"/>
      <c r="F14" s="171" t="s">
        <v>839</v>
      </c>
      <c r="G14" s="158">
        <v>100</v>
      </c>
      <c r="H14" s="158"/>
      <c r="I14" s="140"/>
      <c r="J14" s="114"/>
      <c r="K14" s="184" t="s">
        <v>245</v>
      </c>
      <c r="L14" s="163"/>
    </row>
    <row r="15" spans="2:12" ht="16.2" customHeight="1" x14ac:dyDescent="0.4">
      <c r="B15" s="138" t="s">
        <v>30</v>
      </c>
      <c r="C15" s="139"/>
      <c r="D15" s="140">
        <f>1+D14</f>
        <v>2937</v>
      </c>
      <c r="E15" s="141"/>
      <c r="F15" s="171" t="s">
        <v>74</v>
      </c>
      <c r="G15" s="158">
        <v>100</v>
      </c>
      <c r="H15" s="158"/>
      <c r="I15" s="140"/>
      <c r="J15" s="114"/>
      <c r="K15" s="184"/>
      <c r="L15" s="163"/>
    </row>
    <row r="16" spans="2:12" ht="16.2" customHeight="1" x14ac:dyDescent="0.4">
      <c r="B16" s="138" t="s">
        <v>30</v>
      </c>
      <c r="C16" s="139"/>
      <c r="D16" s="140">
        <f t="shared" ref="D16:D21" si="0">1+D15</f>
        <v>2938</v>
      </c>
      <c r="E16" s="141"/>
      <c r="F16" s="171" t="s">
        <v>232</v>
      </c>
      <c r="G16" s="158">
        <v>100</v>
      </c>
      <c r="H16" s="158"/>
      <c r="I16" s="140"/>
      <c r="J16" s="114"/>
      <c r="K16" s="184"/>
      <c r="L16" s="163"/>
    </row>
    <row r="17" spans="2:13" ht="16.2" customHeight="1" x14ac:dyDescent="0.4">
      <c r="B17" s="138" t="s">
        <v>30</v>
      </c>
      <c r="C17" s="139"/>
      <c r="D17" s="140">
        <f t="shared" si="0"/>
        <v>2939</v>
      </c>
      <c r="E17" s="141"/>
      <c r="F17" s="171" t="s">
        <v>33</v>
      </c>
      <c r="G17" s="158">
        <v>100</v>
      </c>
      <c r="H17" s="158"/>
      <c r="I17" s="140"/>
      <c r="J17" s="114"/>
      <c r="K17" s="184"/>
      <c r="L17" s="163"/>
    </row>
    <row r="18" spans="2:13" ht="16.2" customHeight="1" x14ac:dyDescent="0.4">
      <c r="B18" s="138" t="s">
        <v>30</v>
      </c>
      <c r="C18" s="139"/>
      <c r="D18" s="140">
        <f t="shared" si="0"/>
        <v>2940</v>
      </c>
      <c r="E18" s="141"/>
      <c r="F18" s="171" t="s">
        <v>681</v>
      </c>
      <c r="G18" s="158">
        <v>50</v>
      </c>
      <c r="H18" s="158"/>
      <c r="I18" s="140"/>
      <c r="J18" s="114"/>
      <c r="K18" s="184"/>
      <c r="L18" s="163"/>
    </row>
    <row r="19" spans="2:13" ht="16.2" customHeight="1" x14ac:dyDescent="0.4">
      <c r="B19" s="138" t="s">
        <v>30</v>
      </c>
      <c r="C19" s="139"/>
      <c r="D19" s="140">
        <f t="shared" si="0"/>
        <v>2941</v>
      </c>
      <c r="E19" s="141"/>
      <c r="F19" s="171" t="s">
        <v>840</v>
      </c>
      <c r="G19" s="158">
        <v>100</v>
      </c>
      <c r="H19" s="158"/>
      <c r="I19" s="140"/>
      <c r="J19" s="114"/>
      <c r="K19" s="184"/>
      <c r="L19" s="163"/>
    </row>
    <row r="20" spans="2:13" ht="16.2" customHeight="1" x14ac:dyDescent="0.4">
      <c r="B20" s="138" t="s">
        <v>30</v>
      </c>
      <c r="C20" s="139"/>
      <c r="D20" s="140">
        <f t="shared" si="0"/>
        <v>2942</v>
      </c>
      <c r="E20" s="141"/>
      <c r="F20" s="171" t="s">
        <v>20</v>
      </c>
      <c r="G20" s="158">
        <v>100</v>
      </c>
      <c r="H20" s="158"/>
      <c r="I20" s="140"/>
      <c r="J20" s="114"/>
      <c r="K20" s="184"/>
      <c r="L20" s="163"/>
    </row>
    <row r="21" spans="2:13" ht="16.2" customHeight="1" x14ac:dyDescent="0.4">
      <c r="B21" s="138" t="s">
        <v>30</v>
      </c>
      <c r="C21" s="139"/>
      <c r="D21" s="140">
        <f t="shared" si="0"/>
        <v>2943</v>
      </c>
      <c r="E21" s="141"/>
      <c r="F21" s="171" t="s">
        <v>17</v>
      </c>
      <c r="G21" s="158">
        <v>350</v>
      </c>
      <c r="H21" s="158"/>
      <c r="I21" s="140"/>
      <c r="J21" s="114"/>
      <c r="K21" s="184"/>
      <c r="L21" s="163"/>
      <c r="M21" t="s">
        <v>245</v>
      </c>
    </row>
    <row r="22" spans="2:13" ht="18" customHeight="1" x14ac:dyDescent="0.4">
      <c r="B22" s="154" t="s">
        <v>307</v>
      </c>
      <c r="D22" s="111"/>
      <c r="F22" s="109"/>
      <c r="G22" s="161">
        <f>SUM(G14:G21)</f>
        <v>1000</v>
      </c>
      <c r="H22" s="161"/>
      <c r="I22" s="162">
        <f>G22-J22</f>
        <v>0</v>
      </c>
      <c r="J22" s="114">
        <v>1000</v>
      </c>
      <c r="K22" s="185">
        <v>0</v>
      </c>
      <c r="L22" s="198">
        <f>J22+K22</f>
        <v>1000</v>
      </c>
      <c r="M22" t="s">
        <v>245</v>
      </c>
    </row>
    <row r="23" spans="2:13" ht="16.2" customHeight="1" x14ac:dyDescent="0.4">
      <c r="B23" s="138" t="s">
        <v>29</v>
      </c>
      <c r="C23" s="141"/>
      <c r="D23" s="140">
        <v>2944</v>
      </c>
      <c r="E23" s="141"/>
      <c r="F23" s="171" t="s">
        <v>841</v>
      </c>
      <c r="G23" s="158">
        <v>0</v>
      </c>
      <c r="H23" s="159"/>
      <c r="I23" s="140"/>
      <c r="J23" s="114"/>
      <c r="K23" s="185"/>
      <c r="L23" s="167" t="s">
        <v>245</v>
      </c>
    </row>
    <row r="24" spans="2:13" ht="16.2" customHeight="1" x14ac:dyDescent="0.4">
      <c r="B24" s="138" t="s">
        <v>29</v>
      </c>
      <c r="C24" s="141"/>
      <c r="D24" s="140">
        <f>1+D23</f>
        <v>2945</v>
      </c>
      <c r="E24" s="141"/>
      <c r="F24" s="172" t="s">
        <v>842</v>
      </c>
      <c r="G24" s="275">
        <v>100</v>
      </c>
      <c r="H24" s="159"/>
      <c r="I24" s="140"/>
      <c r="J24" s="114"/>
      <c r="K24" s="185"/>
      <c r="L24" s="167"/>
      <c r="M24" s="272"/>
    </row>
    <row r="25" spans="2:13" ht="16.2" customHeight="1" x14ac:dyDescent="0.4">
      <c r="B25" s="138" t="s">
        <v>29</v>
      </c>
      <c r="C25" s="141"/>
      <c r="D25" s="140">
        <f>1+D24</f>
        <v>2946</v>
      </c>
      <c r="E25" s="141"/>
      <c r="F25" s="172" t="s">
        <v>41</v>
      </c>
      <c r="G25" s="158">
        <v>100</v>
      </c>
      <c r="H25" s="159"/>
      <c r="I25" s="140"/>
      <c r="J25" s="114"/>
      <c r="K25" s="185"/>
      <c r="L25" s="167"/>
    </row>
    <row r="26" spans="2:13" ht="16.2" customHeight="1" x14ac:dyDescent="0.4">
      <c r="B26" s="138" t="s">
        <v>29</v>
      </c>
      <c r="C26" s="141"/>
      <c r="D26" s="140">
        <f>1+D25</f>
        <v>2947</v>
      </c>
      <c r="E26" s="141"/>
      <c r="F26" s="172" t="s">
        <v>839</v>
      </c>
      <c r="G26" s="158">
        <v>100</v>
      </c>
      <c r="H26" s="159"/>
      <c r="I26" s="140"/>
      <c r="J26" s="114"/>
      <c r="K26" s="185"/>
      <c r="L26" s="167"/>
    </row>
    <row r="27" spans="2:13" ht="16.2" customHeight="1" x14ac:dyDescent="0.4">
      <c r="B27" s="138" t="s">
        <v>29</v>
      </c>
      <c r="C27" s="141"/>
      <c r="D27" s="140">
        <f t="shared" ref="D27:D29" si="1">1+D26</f>
        <v>2948</v>
      </c>
      <c r="E27" s="141"/>
      <c r="F27" s="172" t="s">
        <v>232</v>
      </c>
      <c r="G27" s="158">
        <v>100</v>
      </c>
      <c r="H27" s="159"/>
      <c r="I27" s="140"/>
      <c r="J27" s="114"/>
      <c r="K27" s="185"/>
      <c r="L27" s="167"/>
    </row>
    <row r="28" spans="2:13" ht="16.2" customHeight="1" x14ac:dyDescent="0.4">
      <c r="B28" s="138" t="s">
        <v>29</v>
      </c>
      <c r="C28" s="141"/>
      <c r="D28" s="140">
        <f t="shared" si="1"/>
        <v>2949</v>
      </c>
      <c r="E28" s="141"/>
      <c r="F28" s="172" t="s">
        <v>349</v>
      </c>
      <c r="G28" s="158">
        <v>100</v>
      </c>
      <c r="H28" s="159"/>
      <c r="I28" s="140"/>
      <c r="J28" s="114"/>
      <c r="K28" s="185"/>
      <c r="L28" s="167"/>
    </row>
    <row r="29" spans="2:13" ht="16.2" customHeight="1" x14ac:dyDescent="0.4">
      <c r="B29" s="138" t="s">
        <v>29</v>
      </c>
      <c r="C29" s="141"/>
      <c r="D29" s="140">
        <f t="shared" si="1"/>
        <v>2950</v>
      </c>
      <c r="E29" s="141"/>
      <c r="F29" s="172" t="s">
        <v>294</v>
      </c>
      <c r="G29" s="158">
        <v>100</v>
      </c>
      <c r="H29" s="159"/>
      <c r="I29" s="140"/>
      <c r="J29" s="114"/>
      <c r="K29" s="185"/>
      <c r="L29" s="167"/>
    </row>
    <row r="30" spans="2:13" ht="16.2" customHeight="1" x14ac:dyDescent="0.4">
      <c r="B30" s="154" t="s">
        <v>307</v>
      </c>
      <c r="C30" s="141"/>
      <c r="D30" s="140"/>
      <c r="E30" s="141"/>
      <c r="F30" s="172"/>
      <c r="G30" s="289">
        <f>SUM(G23:G29)</f>
        <v>600</v>
      </c>
      <c r="H30" s="159"/>
      <c r="I30" s="162">
        <f>G30-J30</f>
        <v>0</v>
      </c>
      <c r="J30" s="114">
        <v>600</v>
      </c>
      <c r="K30" s="185">
        <v>400</v>
      </c>
      <c r="L30" s="198">
        <f>J30+K30</f>
        <v>1000</v>
      </c>
    </row>
    <row r="31" spans="2:13" ht="16.2" customHeight="1" x14ac:dyDescent="0.4">
      <c r="B31" s="138">
        <v>16</v>
      </c>
      <c r="C31" s="141"/>
      <c r="D31" s="140">
        <v>2951</v>
      </c>
      <c r="E31" s="141"/>
      <c r="F31" s="172" t="s">
        <v>232</v>
      </c>
      <c r="G31" s="275">
        <v>100</v>
      </c>
      <c r="H31" s="159"/>
      <c r="I31" s="140"/>
      <c r="J31" s="114"/>
      <c r="K31" s="185"/>
      <c r="L31" s="198"/>
      <c r="M31" s="272"/>
    </row>
    <row r="32" spans="2:13" ht="16.2" customHeight="1" x14ac:dyDescent="0.4">
      <c r="B32" s="138">
        <v>16</v>
      </c>
      <c r="C32" s="141"/>
      <c r="D32" s="140">
        <f t="shared" ref="D32:D36" si="2">1+D31</f>
        <v>2952</v>
      </c>
      <c r="E32" s="141"/>
      <c r="F32" s="172" t="s">
        <v>33</v>
      </c>
      <c r="G32" s="275">
        <v>100</v>
      </c>
      <c r="H32" s="159"/>
      <c r="I32" s="140"/>
      <c r="J32" s="114"/>
      <c r="K32" s="185"/>
      <c r="L32" s="198"/>
      <c r="M32" s="272"/>
    </row>
    <row r="33" spans="2:16" ht="16.2" customHeight="1" x14ac:dyDescent="0.4">
      <c r="B33" s="138">
        <v>16</v>
      </c>
      <c r="C33" s="141"/>
      <c r="D33" s="140">
        <f t="shared" si="2"/>
        <v>2953</v>
      </c>
      <c r="E33" s="141"/>
      <c r="F33" s="172" t="s">
        <v>74</v>
      </c>
      <c r="G33" s="275">
        <v>100</v>
      </c>
      <c r="H33" s="159"/>
      <c r="I33" s="140"/>
      <c r="J33" s="114"/>
      <c r="K33" s="185"/>
      <c r="L33" s="198"/>
    </row>
    <row r="34" spans="2:16" ht="16.2" customHeight="1" x14ac:dyDescent="0.4">
      <c r="B34" s="138">
        <v>16</v>
      </c>
      <c r="C34" s="141"/>
      <c r="D34" s="140">
        <f t="shared" si="2"/>
        <v>2954</v>
      </c>
      <c r="E34" s="141"/>
      <c r="F34" s="172" t="s">
        <v>188</v>
      </c>
      <c r="G34" s="275">
        <v>50</v>
      </c>
      <c r="H34" s="159"/>
      <c r="I34" s="140"/>
      <c r="J34" s="114"/>
      <c r="K34" s="185"/>
      <c r="L34" s="198"/>
    </row>
    <row r="35" spans="2:16" ht="16.2" customHeight="1" x14ac:dyDescent="0.4">
      <c r="B35" s="138">
        <v>16</v>
      </c>
      <c r="C35" s="141"/>
      <c r="D35" s="140">
        <f t="shared" si="2"/>
        <v>2955</v>
      </c>
      <c r="E35" s="141"/>
      <c r="F35" s="172" t="s">
        <v>41</v>
      </c>
      <c r="G35" s="275">
        <v>100</v>
      </c>
      <c r="H35" s="159"/>
      <c r="I35" s="140"/>
      <c r="J35" s="114"/>
      <c r="K35" s="185"/>
      <c r="L35" s="198"/>
      <c r="M35" s="272"/>
      <c r="P35" s="216"/>
    </row>
    <row r="36" spans="2:16" ht="16.2" customHeight="1" x14ac:dyDescent="0.4">
      <c r="B36" s="138">
        <v>16</v>
      </c>
      <c r="C36" s="395"/>
      <c r="D36" s="140">
        <f t="shared" si="2"/>
        <v>2956</v>
      </c>
      <c r="E36" s="395"/>
      <c r="F36" s="396" t="s">
        <v>843</v>
      </c>
      <c r="G36" s="407">
        <v>50</v>
      </c>
      <c r="H36" s="399"/>
      <c r="I36" s="177"/>
      <c r="J36" s="114"/>
      <c r="K36" s="185"/>
      <c r="L36" s="198"/>
      <c r="M36" s="272"/>
      <c r="P36" s="216"/>
    </row>
    <row r="37" spans="2:16" ht="16.2" customHeight="1" x14ac:dyDescent="0.4">
      <c r="B37" s="138">
        <v>16</v>
      </c>
      <c r="C37" s="395"/>
      <c r="D37" s="140" t="s">
        <v>245</v>
      </c>
      <c r="E37" s="395"/>
      <c r="F37" s="439" t="s">
        <v>386</v>
      </c>
      <c r="G37" s="407">
        <v>100</v>
      </c>
      <c r="H37" s="399"/>
      <c r="I37" s="177"/>
      <c r="J37" s="114"/>
      <c r="K37" s="185"/>
      <c r="L37" s="198"/>
      <c r="M37" s="272"/>
      <c r="P37" s="216"/>
    </row>
    <row r="38" spans="2:16" ht="16.2" customHeight="1" x14ac:dyDescent="0.4">
      <c r="B38" s="345" t="s">
        <v>307</v>
      </c>
      <c r="C38" s="395"/>
      <c r="D38" s="177"/>
      <c r="E38" s="395"/>
      <c r="F38" s="396"/>
      <c r="G38" s="400">
        <f>SUM(G31:G37)</f>
        <v>600</v>
      </c>
      <c r="H38" s="399"/>
      <c r="I38" s="162">
        <f>G38-J38</f>
        <v>0</v>
      </c>
      <c r="J38" s="114">
        <v>600</v>
      </c>
      <c r="K38" s="185">
        <v>400</v>
      </c>
      <c r="L38" s="198">
        <f>J38+K38</f>
        <v>1000</v>
      </c>
      <c r="M38" s="272"/>
    </row>
    <row r="39" spans="2:16" ht="16.2" customHeight="1" x14ac:dyDescent="0.4">
      <c r="B39" s="175">
        <v>23</v>
      </c>
      <c r="C39" s="395"/>
      <c r="D39" s="177">
        <v>2957</v>
      </c>
      <c r="E39" s="395"/>
      <c r="F39" s="396" t="s">
        <v>839</v>
      </c>
      <c r="G39" s="397">
        <v>100</v>
      </c>
      <c r="H39" s="399"/>
      <c r="I39" s="177"/>
      <c r="J39" s="114"/>
      <c r="K39" s="185"/>
      <c r="L39" s="198"/>
    </row>
    <row r="40" spans="2:16" ht="16.2" customHeight="1" x14ac:dyDescent="0.4">
      <c r="B40" s="175">
        <v>23</v>
      </c>
      <c r="C40" s="395"/>
      <c r="D40" s="177">
        <f>1+D39</f>
        <v>2958</v>
      </c>
      <c r="E40" s="395"/>
      <c r="F40" s="396" t="s">
        <v>20</v>
      </c>
      <c r="G40" s="397">
        <v>100</v>
      </c>
      <c r="H40" s="399"/>
      <c r="I40" s="177"/>
      <c r="J40" s="114"/>
      <c r="K40" s="185"/>
      <c r="L40" s="198"/>
    </row>
    <row r="41" spans="2:16" ht="16.2" customHeight="1" x14ac:dyDescent="0.4">
      <c r="B41" s="175">
        <v>23</v>
      </c>
      <c r="C41" s="395"/>
      <c r="D41" s="177">
        <f t="shared" ref="D41:D44" si="3">1+D40</f>
        <v>2959</v>
      </c>
      <c r="E41" s="395"/>
      <c r="F41" s="396" t="s">
        <v>41</v>
      </c>
      <c r="G41" s="397">
        <v>100</v>
      </c>
      <c r="H41" s="399"/>
      <c r="I41" s="177"/>
      <c r="J41" s="114"/>
      <c r="K41" s="185"/>
      <c r="L41" s="198"/>
    </row>
    <row r="42" spans="2:16" ht="16.2" customHeight="1" x14ac:dyDescent="0.4">
      <c r="B42" s="175">
        <v>23</v>
      </c>
      <c r="C42" s="395"/>
      <c r="D42" s="177">
        <f t="shared" si="3"/>
        <v>2960</v>
      </c>
      <c r="E42" s="395"/>
      <c r="F42" s="396" t="s">
        <v>844</v>
      </c>
      <c r="G42" s="397">
        <v>100</v>
      </c>
      <c r="H42" s="399"/>
      <c r="I42" s="177"/>
      <c r="J42" s="114"/>
      <c r="K42" s="185"/>
      <c r="L42" s="198"/>
    </row>
    <row r="43" spans="2:16" ht="16.2" customHeight="1" x14ac:dyDescent="0.4">
      <c r="B43" s="175">
        <v>23</v>
      </c>
      <c r="C43" s="395"/>
      <c r="D43" s="177">
        <f t="shared" si="3"/>
        <v>2961</v>
      </c>
      <c r="E43" s="395"/>
      <c r="F43" s="396" t="s">
        <v>74</v>
      </c>
      <c r="G43" s="397">
        <v>100</v>
      </c>
      <c r="H43" s="399"/>
      <c r="I43" s="177"/>
      <c r="J43" s="114"/>
      <c r="K43" s="185"/>
      <c r="L43" s="198"/>
    </row>
    <row r="44" spans="2:16" ht="16.2" customHeight="1" x14ac:dyDescent="0.4">
      <c r="B44" s="175">
        <v>23</v>
      </c>
      <c r="C44" s="395"/>
      <c r="D44" s="177">
        <f t="shared" si="3"/>
        <v>2962</v>
      </c>
      <c r="E44" s="395"/>
      <c r="F44" s="396" t="s">
        <v>294</v>
      </c>
      <c r="G44" s="397">
        <v>100</v>
      </c>
      <c r="H44" s="399"/>
      <c r="I44" s="177"/>
      <c r="J44" s="114"/>
      <c r="K44" s="185"/>
      <c r="L44" s="198"/>
    </row>
    <row r="45" spans="2:16" ht="16.2" customHeight="1" x14ac:dyDescent="0.4">
      <c r="B45" s="345" t="s">
        <v>307</v>
      </c>
      <c r="C45" s="395"/>
      <c r="D45" s="177"/>
      <c r="E45" s="395"/>
      <c r="F45" s="396"/>
      <c r="G45" s="400">
        <f>SUM(G39:G44)</f>
        <v>600</v>
      </c>
      <c r="H45" s="399"/>
      <c r="I45" s="162">
        <f>G45-J45</f>
        <v>0</v>
      </c>
      <c r="J45" s="114">
        <v>600</v>
      </c>
      <c r="K45" s="185">
        <v>400</v>
      </c>
      <c r="L45" s="198">
        <f t="shared" ref="L45:L51" si="4">J45+K45</f>
        <v>1000</v>
      </c>
    </row>
    <row r="46" spans="2:16" ht="16.2" customHeight="1" x14ac:dyDescent="0.4">
      <c r="B46" s="175">
        <v>30</v>
      </c>
      <c r="C46" s="395"/>
      <c r="D46" s="177">
        <v>2963</v>
      </c>
      <c r="E46" s="395"/>
      <c r="F46" s="396" t="s">
        <v>845</v>
      </c>
      <c r="G46" s="397">
        <v>100</v>
      </c>
      <c r="H46" s="399"/>
      <c r="I46" s="177"/>
      <c r="J46" s="114"/>
      <c r="K46" s="185"/>
      <c r="L46" s="198">
        <f t="shared" si="4"/>
        <v>0</v>
      </c>
    </row>
    <row r="47" spans="2:16" ht="16.2" customHeight="1" x14ac:dyDescent="0.4">
      <c r="B47" s="175">
        <v>30</v>
      </c>
      <c r="C47" s="395"/>
      <c r="D47" s="177">
        <f>1+D46</f>
        <v>2964</v>
      </c>
      <c r="E47" s="395"/>
      <c r="F47" s="396" t="s">
        <v>41</v>
      </c>
      <c r="G47" s="397">
        <v>100</v>
      </c>
      <c r="H47" s="399"/>
      <c r="I47" s="177"/>
      <c r="J47" s="114"/>
      <c r="K47" s="185"/>
      <c r="L47" s="198">
        <f t="shared" si="4"/>
        <v>0</v>
      </c>
    </row>
    <row r="48" spans="2:16" ht="16.2" customHeight="1" x14ac:dyDescent="0.4">
      <c r="B48" s="175">
        <v>30</v>
      </c>
      <c r="C48" s="395"/>
      <c r="D48" s="177">
        <f t="shared" ref="D48:D50" si="5">1+D47</f>
        <v>2965</v>
      </c>
      <c r="E48" s="395"/>
      <c r="F48" s="396" t="s">
        <v>294</v>
      </c>
      <c r="G48" s="397">
        <v>100</v>
      </c>
      <c r="H48" s="399"/>
      <c r="I48" s="177"/>
      <c r="J48" s="114"/>
      <c r="K48" s="185"/>
      <c r="L48" s="198"/>
    </row>
    <row r="49" spans="2:16" ht="16.2" customHeight="1" x14ac:dyDescent="0.4">
      <c r="B49" s="175">
        <v>30</v>
      </c>
      <c r="C49" s="395"/>
      <c r="D49" s="177">
        <f t="shared" si="5"/>
        <v>2966</v>
      </c>
      <c r="E49" s="395"/>
      <c r="F49" s="396" t="s">
        <v>846</v>
      </c>
      <c r="G49" s="397">
        <v>100</v>
      </c>
      <c r="H49" s="399"/>
      <c r="I49" s="177"/>
      <c r="J49" s="114"/>
      <c r="K49" s="185"/>
      <c r="L49" s="198"/>
    </row>
    <row r="50" spans="2:16" ht="16.2" customHeight="1" x14ac:dyDescent="0.4">
      <c r="B50" s="175">
        <v>30</v>
      </c>
      <c r="C50" s="395"/>
      <c r="D50" s="177">
        <f t="shared" si="5"/>
        <v>2967</v>
      </c>
      <c r="E50" s="395"/>
      <c r="F50" s="396" t="s">
        <v>843</v>
      </c>
      <c r="G50" s="397">
        <v>50</v>
      </c>
      <c r="H50" s="399"/>
      <c r="I50" s="177"/>
      <c r="J50" s="114"/>
      <c r="K50" s="185"/>
      <c r="L50" s="198"/>
    </row>
    <row r="51" spans="2:16" ht="16.2" customHeight="1" thickBot="1" x14ac:dyDescent="0.45">
      <c r="B51" s="345" t="s">
        <v>307</v>
      </c>
      <c r="C51" s="395"/>
      <c r="D51" s="177"/>
      <c r="E51" s="395"/>
      <c r="F51" s="396"/>
      <c r="G51" s="419">
        <f>SUM(G46:G50)</f>
        <v>450</v>
      </c>
      <c r="H51" s="399"/>
      <c r="I51" s="177"/>
      <c r="J51" s="114">
        <v>450</v>
      </c>
      <c r="K51" s="185">
        <v>550</v>
      </c>
      <c r="L51" s="198">
        <f t="shared" si="4"/>
        <v>1000</v>
      </c>
    </row>
    <row r="52" spans="2:16" ht="22.2" customHeight="1" thickBot="1" x14ac:dyDescent="0.45">
      <c r="B52" s="318" t="s">
        <v>297</v>
      </c>
      <c r="C52" s="319"/>
      <c r="D52" s="320"/>
      <c r="E52" s="321"/>
      <c r="F52" s="319"/>
      <c r="G52" s="322">
        <f>G51+G45+G38+G30+G22</f>
        <v>3250</v>
      </c>
      <c r="H52" s="322"/>
      <c r="I52" s="322">
        <f>I51+I45+I38+I30+I22</f>
        <v>0</v>
      </c>
      <c r="J52" s="322">
        <f>J51+J45+J38+J30+J22</f>
        <v>3250</v>
      </c>
      <c r="K52" s="322">
        <f>K51+K45+K38+K30+K22</f>
        <v>1750</v>
      </c>
      <c r="L52" s="322">
        <f>L51+L45+L38+L30+L22</f>
        <v>5000</v>
      </c>
      <c r="P52" s="408"/>
    </row>
    <row r="53" spans="2:16" ht="16.2" customHeight="1" x14ac:dyDescent="0.4">
      <c r="B53" s="9"/>
      <c r="C53" s="8"/>
      <c r="D53" s="19"/>
      <c r="E53" s="19"/>
      <c r="F53" s="8"/>
      <c r="G53" s="10"/>
      <c r="H53" s="10"/>
      <c r="I53" s="14" t="s">
        <v>245</v>
      </c>
      <c r="J53" s="14" t="s">
        <v>245</v>
      </c>
      <c r="K53" s="12"/>
      <c r="L53" s="15" t="s">
        <v>245</v>
      </c>
      <c r="P53" s="409"/>
    </row>
    <row r="54" spans="2:16" ht="16.2" customHeight="1" x14ac:dyDescent="0.4">
      <c r="B54" s="9"/>
      <c r="C54" s="8"/>
      <c r="D54" s="19"/>
      <c r="E54" s="19"/>
      <c r="F54" s="8"/>
      <c r="G54" s="10" t="s">
        <v>245</v>
      </c>
      <c r="H54" s="10"/>
      <c r="I54" s="14" t="s">
        <v>245</v>
      </c>
      <c r="J54" s="14"/>
      <c r="K54" s="12"/>
      <c r="L54" s="15"/>
      <c r="P54" s="135"/>
    </row>
    <row r="55" spans="2:16" ht="14.15" customHeight="1" x14ac:dyDescent="0.4">
      <c r="B55" s="9"/>
      <c r="C55" s="8"/>
      <c r="D55" s="19"/>
      <c r="E55" s="19"/>
      <c r="F55" s="8"/>
      <c r="G55" s="10"/>
      <c r="H55" s="10"/>
      <c r="I55" s="14" t="s">
        <v>245</v>
      </c>
      <c r="J55" s="14" t="s">
        <v>245</v>
      </c>
      <c r="K55" s="12"/>
      <c r="L55" s="15"/>
      <c r="M55" s="135"/>
    </row>
    <row r="56" spans="2:16" ht="14.15" customHeight="1" x14ac:dyDescent="0.4">
      <c r="B56" s="8"/>
      <c r="C56" s="8"/>
      <c r="D56" s="8" t="s">
        <v>245</v>
      </c>
      <c r="E56" s="8"/>
      <c r="F56" s="8"/>
      <c r="G56" s="8"/>
      <c r="H56" s="8"/>
      <c r="I56" s="8"/>
      <c r="J56" s="8"/>
      <c r="K56" s="8"/>
    </row>
    <row r="57" spans="2:16" ht="14.15" customHeight="1" x14ac:dyDescent="0.4">
      <c r="B57" s="8"/>
      <c r="C57" s="8"/>
      <c r="D57" s="19" t="s">
        <v>245</v>
      </c>
      <c r="E57" s="8"/>
      <c r="F57" s="19" t="s">
        <v>245</v>
      </c>
      <c r="G57" s="8"/>
      <c r="H57" s="8"/>
      <c r="I57" s="8"/>
      <c r="J57" s="8"/>
      <c r="K57" s="8" t="s">
        <v>712</v>
      </c>
    </row>
    <row r="58" spans="2:16" ht="14.15" customHeight="1" x14ac:dyDescent="0.4">
      <c r="B58" s="8"/>
      <c r="C58" s="8"/>
      <c r="D58" s="8"/>
      <c r="E58" s="8"/>
      <c r="F58" s="19"/>
      <c r="G58" s="8"/>
      <c r="H58" s="8"/>
      <c r="I58" s="8"/>
      <c r="J58" s="8"/>
      <c r="K58" s="8"/>
    </row>
    <row r="59" spans="2:16" ht="14.15" customHeight="1" x14ac:dyDescent="0.4">
      <c r="B59" s="8"/>
      <c r="C59" s="8"/>
      <c r="D59" s="8"/>
      <c r="E59" s="8"/>
      <c r="F59" s="19"/>
      <c r="G59" s="8"/>
      <c r="H59" s="8"/>
      <c r="I59" s="8"/>
      <c r="J59" s="8"/>
      <c r="K59" s="8"/>
    </row>
    <row r="60" spans="2:16" ht="14.15" customHeight="1" x14ac:dyDescent="0.4">
      <c r="B60" s="8"/>
      <c r="C60" s="8"/>
      <c r="D60" s="8"/>
      <c r="E60" s="8"/>
      <c r="F60" s="19"/>
      <c r="G60" s="8"/>
      <c r="H60" s="8"/>
      <c r="I60" s="8"/>
      <c r="J60" s="8"/>
      <c r="K60" s="8"/>
    </row>
    <row r="61" spans="2:16" ht="14.15" customHeight="1" x14ac:dyDescent="0.4">
      <c r="B61" s="267" t="s">
        <v>828</v>
      </c>
      <c r="C61" s="267"/>
      <c r="D61" s="267"/>
      <c r="E61" s="267"/>
      <c r="F61" s="19"/>
      <c r="G61" s="8"/>
      <c r="H61" s="8"/>
      <c r="I61" s="8"/>
      <c r="J61" s="8"/>
      <c r="K61" s="8"/>
    </row>
    <row r="62" spans="2:16" ht="14.15" customHeight="1" thickBot="1" x14ac:dyDescent="0.45">
      <c r="B62" s="19" t="s">
        <v>245</v>
      </c>
      <c r="C62" s="8"/>
      <c r="D62" s="8"/>
      <c r="E62" s="8"/>
      <c r="F62" s="19"/>
      <c r="G62" s="19"/>
      <c r="H62" s="19"/>
      <c r="I62" s="19"/>
      <c r="J62" s="19"/>
      <c r="K62" s="19"/>
    </row>
    <row r="63" spans="2:16" ht="18" customHeight="1" thickBot="1" x14ac:dyDescent="0.45">
      <c r="B63" s="469" t="s">
        <v>311</v>
      </c>
      <c r="C63" s="470"/>
      <c r="D63" s="470"/>
      <c r="E63" s="471"/>
      <c r="F63" s="209" t="s">
        <v>123</v>
      </c>
      <c r="G63" s="19"/>
      <c r="H63" s="19"/>
      <c r="I63" s="19"/>
      <c r="J63" s="19"/>
      <c r="K63" s="19"/>
    </row>
    <row r="64" spans="2:16" ht="15" customHeight="1" thickBot="1" x14ac:dyDescent="0.45">
      <c r="B64" s="329" t="s">
        <v>342</v>
      </c>
      <c r="C64" s="330" t="s">
        <v>30</v>
      </c>
      <c r="D64" s="325" t="s">
        <v>245</v>
      </c>
      <c r="E64" s="325"/>
      <c r="F64" s="401">
        <v>1000</v>
      </c>
      <c r="G64" s="41"/>
      <c r="H64" s="41"/>
      <c r="I64" s="8"/>
      <c r="J64" s="201"/>
      <c r="K64" s="8"/>
    </row>
    <row r="65" spans="2:11" ht="15" customHeight="1" thickBot="1" x14ac:dyDescent="0.45">
      <c r="B65" s="329" t="s">
        <v>342</v>
      </c>
      <c r="C65" s="330" t="s">
        <v>29</v>
      </c>
      <c r="D65" s="325"/>
      <c r="E65" s="325"/>
      <c r="F65" s="401">
        <v>1000</v>
      </c>
      <c r="G65" s="41"/>
      <c r="H65" s="41"/>
      <c r="I65" s="8"/>
      <c r="J65" s="201"/>
      <c r="K65" s="8"/>
    </row>
    <row r="66" spans="2:11" ht="15" customHeight="1" thickBot="1" x14ac:dyDescent="0.45">
      <c r="B66" s="329" t="s">
        <v>342</v>
      </c>
      <c r="C66" s="330">
        <v>16</v>
      </c>
      <c r="D66" s="325"/>
      <c r="E66" s="325"/>
      <c r="F66" s="401">
        <v>1000</v>
      </c>
      <c r="G66" s="41"/>
      <c r="H66" s="41"/>
      <c r="I66" s="8"/>
      <c r="J66" s="201"/>
      <c r="K66" s="8"/>
    </row>
    <row r="67" spans="2:11" ht="15" customHeight="1" thickBot="1" x14ac:dyDescent="0.45">
      <c r="B67" s="329" t="s">
        <v>342</v>
      </c>
      <c r="C67" s="331">
        <v>23</v>
      </c>
      <c r="D67" s="326"/>
      <c r="E67" s="326"/>
      <c r="F67" s="402">
        <v>1000</v>
      </c>
      <c r="G67" s="41"/>
      <c r="H67" s="41"/>
      <c r="I67" s="8"/>
      <c r="J67" s="201"/>
      <c r="K67" s="8"/>
    </row>
    <row r="68" spans="2:11" ht="15" customHeight="1" thickBot="1" x14ac:dyDescent="0.45">
      <c r="B68" s="331" t="s">
        <v>342</v>
      </c>
      <c r="C68" s="331">
        <v>30</v>
      </c>
      <c r="D68" s="326"/>
      <c r="E68" s="326"/>
      <c r="F68" s="402">
        <v>1000</v>
      </c>
      <c r="G68" s="41"/>
      <c r="H68" s="41"/>
      <c r="I68" s="8"/>
      <c r="J68" s="201"/>
      <c r="K68" s="8"/>
    </row>
    <row r="69" spans="2:11" ht="8.15" customHeight="1" x14ac:dyDescent="0.4">
      <c r="B69" s="210"/>
      <c r="C69" s="211"/>
      <c r="D69" s="212" t="s">
        <v>245</v>
      </c>
      <c r="E69" s="212"/>
      <c r="F69" s="213"/>
      <c r="G69" s="10"/>
      <c r="H69" s="10"/>
      <c r="I69" s="21"/>
      <c r="J69" s="201"/>
      <c r="K69" s="10"/>
    </row>
    <row r="70" spans="2:11" ht="14.15" customHeight="1" thickBot="1" x14ac:dyDescent="0.45">
      <c r="B70" s="466" t="s">
        <v>296</v>
      </c>
      <c r="C70" s="467"/>
      <c r="D70" s="467"/>
      <c r="E70" s="214"/>
      <c r="F70" s="215">
        <f>SUM(F64:F68)</f>
        <v>5000</v>
      </c>
      <c r="G70" s="10"/>
      <c r="H70" s="10"/>
      <c r="I70" s="21"/>
      <c r="J70" s="203"/>
      <c r="K70" s="10"/>
    </row>
    <row r="71" spans="2:11" ht="15.45" x14ac:dyDescent="0.4">
      <c r="B71" s="26"/>
      <c r="C71" s="8"/>
      <c r="D71" s="8"/>
      <c r="E71" s="8"/>
      <c r="F71" s="8"/>
      <c r="G71" s="10"/>
      <c r="H71" s="10"/>
      <c r="I71" s="27"/>
      <c r="J71" s="27"/>
      <c r="K71" s="10"/>
    </row>
    <row r="72" spans="2:11" ht="15.45" x14ac:dyDescent="0.4">
      <c r="B72" s="25"/>
      <c r="C72" s="8"/>
      <c r="D72" s="8"/>
      <c r="E72" s="8"/>
      <c r="F72" s="8"/>
      <c r="G72" s="41"/>
      <c r="H72" s="41"/>
      <c r="I72" s="21"/>
      <c r="J72" s="27"/>
      <c r="K72" s="10"/>
    </row>
    <row r="73" spans="2:11" ht="15.45" x14ac:dyDescent="0.4">
      <c r="B73" s="26"/>
      <c r="C73" s="8"/>
      <c r="D73" s="6"/>
      <c r="E73" s="6"/>
      <c r="F73" s="8"/>
      <c r="G73" s="10"/>
      <c r="H73" s="10"/>
      <c r="I73" s="10"/>
      <c r="J73" s="8"/>
      <c r="K73" s="10"/>
    </row>
    <row r="74" spans="2:11" ht="15.45" x14ac:dyDescent="0.4">
      <c r="F74" s="8"/>
      <c r="I74" s="27"/>
    </row>
  </sheetData>
  <mergeCells count="9">
    <mergeCell ref="B63:E63"/>
    <mergeCell ref="B70:D70"/>
    <mergeCell ref="B7:L7"/>
    <mergeCell ref="F9:J9"/>
    <mergeCell ref="G11:G12"/>
    <mergeCell ref="H11:H12"/>
    <mergeCell ref="I11:I12"/>
    <mergeCell ref="J11:K11"/>
    <mergeCell ref="L11:L12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E69F6-FD6D-495C-A5B5-8A0FED8DDFC8}">
  <dimension ref="B1:S96"/>
  <sheetViews>
    <sheetView topLeftCell="A44" workbookViewId="0">
      <selection activeCell="M74" sqref="M74"/>
    </sheetView>
  </sheetViews>
  <sheetFormatPr defaultRowHeight="14.6" x14ac:dyDescent="0.4"/>
  <cols>
    <col min="1" max="1" width="3.3046875" customWidth="1"/>
    <col min="2" max="2" width="1.3046875" customWidth="1"/>
    <col min="3" max="3" width="16.69140625" customWidth="1"/>
    <col min="4" max="4" width="0.53515625" customWidth="1"/>
    <col min="5" max="5" width="12.3046875" customWidth="1"/>
    <col min="6" max="6" width="1.4609375" customWidth="1"/>
    <col min="7" max="7" width="12" customWidth="1"/>
    <col min="8" max="8" width="19.07421875" customWidth="1"/>
    <col min="9" max="9" width="16.53515625" customWidth="1"/>
    <col min="10" max="10" width="28.4609375" customWidth="1"/>
    <col min="11" max="11" width="16.07421875" customWidth="1"/>
    <col min="12" max="12" width="3" customWidth="1"/>
    <col min="13" max="13" width="18.3046875" customWidth="1"/>
    <col min="14" max="14" width="1" customWidth="1"/>
    <col min="15" max="15" width="12.84375" customWidth="1"/>
    <col min="16" max="16" width="10.07421875" bestFit="1" customWidth="1"/>
    <col min="17" max="17" width="11.4609375" customWidth="1"/>
  </cols>
  <sheetData>
    <row r="1" spans="3:15" ht="6" customHeight="1" x14ac:dyDescent="0.4"/>
    <row r="2" spans="3:15" ht="6" customHeight="1" x14ac:dyDescent="0.4"/>
    <row r="3" spans="3:15" ht="6" customHeight="1" x14ac:dyDescent="0.4"/>
    <row r="4" spans="3:15" ht="20.149999999999999" customHeight="1" x14ac:dyDescent="0.4">
      <c r="C4" s="476" t="s">
        <v>0</v>
      </c>
      <c r="D4" s="476"/>
      <c r="E4" s="476"/>
      <c r="F4" s="476"/>
      <c r="G4" s="476"/>
      <c r="H4" s="476"/>
      <c r="I4" s="476"/>
      <c r="J4" s="476"/>
      <c r="K4" s="476"/>
      <c r="L4" s="476"/>
      <c r="M4" s="476"/>
      <c r="N4" s="476"/>
    </row>
    <row r="5" spans="3:15" ht="20.149999999999999" customHeight="1" x14ac:dyDescent="0.45">
      <c r="C5" s="492" t="s">
        <v>333</v>
      </c>
      <c r="D5" s="492"/>
      <c r="E5" s="492"/>
      <c r="F5" s="492"/>
      <c r="G5" s="492"/>
      <c r="H5" s="492"/>
      <c r="I5" s="492"/>
      <c r="J5" s="492"/>
      <c r="K5" s="492"/>
      <c r="L5" s="492"/>
      <c r="M5" s="492"/>
      <c r="N5" s="243"/>
    </row>
    <row r="6" spans="3:15" ht="20.149999999999999" customHeight="1" x14ac:dyDescent="0.45">
      <c r="C6" s="492" t="s">
        <v>245</v>
      </c>
      <c r="D6" s="492"/>
      <c r="E6" s="492"/>
      <c r="F6" s="492"/>
      <c r="G6" s="492"/>
      <c r="H6" s="492"/>
      <c r="I6" s="492"/>
      <c r="J6" s="492"/>
      <c r="K6" s="492"/>
      <c r="L6" s="492"/>
      <c r="M6" s="492"/>
      <c r="N6" s="243"/>
    </row>
    <row r="7" spans="3:15" ht="20.149999999999999" customHeight="1" x14ac:dyDescent="0.45">
      <c r="C7" s="476" t="s">
        <v>318</v>
      </c>
      <c r="D7" s="476"/>
      <c r="E7" s="476"/>
      <c r="F7" s="476"/>
      <c r="G7" s="476"/>
      <c r="H7" s="476"/>
      <c r="I7" s="476"/>
      <c r="J7" s="476"/>
      <c r="K7" s="476"/>
      <c r="L7" s="476"/>
      <c r="M7" s="476"/>
      <c r="N7" s="243"/>
    </row>
    <row r="8" spans="3:15" ht="20.149999999999999" customHeight="1" x14ac:dyDescent="0.45">
      <c r="C8" s="476" t="s">
        <v>851</v>
      </c>
      <c r="D8" s="476"/>
      <c r="E8" s="476"/>
      <c r="F8" s="476"/>
      <c r="G8" s="476"/>
      <c r="H8" s="476"/>
      <c r="I8" s="476"/>
      <c r="J8" s="476"/>
      <c r="K8" s="476"/>
      <c r="L8" s="476"/>
      <c r="M8" s="476"/>
      <c r="N8" s="221"/>
    </row>
    <row r="9" spans="3:15" ht="15" customHeight="1" x14ac:dyDescent="0.4"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</row>
    <row r="10" spans="3:15" ht="15" customHeight="1" x14ac:dyDescent="0.45">
      <c r="C10" s="220" t="s">
        <v>852</v>
      </c>
      <c r="D10" s="221"/>
      <c r="E10" s="221"/>
      <c r="F10" s="221"/>
      <c r="G10" s="221"/>
      <c r="H10" s="221"/>
      <c r="I10" s="221"/>
      <c r="J10" s="221"/>
      <c r="K10" s="221"/>
      <c r="L10" s="247" t="s">
        <v>326</v>
      </c>
      <c r="M10" s="219">
        <v>3028.6800000000085</v>
      </c>
      <c r="N10" s="8"/>
      <c r="O10" s="135" t="s">
        <v>245</v>
      </c>
    </row>
    <row r="11" spans="3:15" ht="15" customHeight="1" x14ac:dyDescent="0.45">
      <c r="C11" s="221"/>
      <c r="D11" s="221"/>
      <c r="E11" s="221"/>
      <c r="F11" s="221"/>
      <c r="G11" s="221"/>
      <c r="H11" s="221"/>
      <c r="I11" s="221"/>
      <c r="J11" s="221"/>
      <c r="K11" s="221"/>
      <c r="L11" s="8"/>
      <c r="M11" s="8"/>
      <c r="N11" s="8"/>
    </row>
    <row r="12" spans="3:15" ht="15" customHeight="1" x14ac:dyDescent="0.45">
      <c r="C12" s="220" t="s">
        <v>853</v>
      </c>
      <c r="D12" s="220"/>
      <c r="E12" s="221"/>
      <c r="F12" s="221"/>
      <c r="G12" s="221"/>
      <c r="H12" s="221"/>
      <c r="I12" s="221"/>
      <c r="J12" s="221"/>
      <c r="K12" s="221"/>
      <c r="L12" s="8"/>
      <c r="M12" s="8"/>
      <c r="N12" s="8"/>
    </row>
    <row r="13" spans="3:15" ht="15" customHeight="1" x14ac:dyDescent="0.45">
      <c r="C13" s="221"/>
      <c r="D13" s="221"/>
      <c r="E13" s="221"/>
      <c r="F13" s="221"/>
      <c r="G13" s="221"/>
      <c r="H13" s="221"/>
      <c r="I13" s="226" t="s">
        <v>245</v>
      </c>
      <c r="J13" s="226"/>
      <c r="K13" s="226" t="s">
        <v>245</v>
      </c>
      <c r="L13" s="19"/>
      <c r="M13" s="8"/>
      <c r="N13" s="8"/>
    </row>
    <row r="14" spans="3:15" ht="15" customHeight="1" x14ac:dyDescent="0.45">
      <c r="C14" s="476" t="s">
        <v>305</v>
      </c>
      <c r="D14" s="476"/>
      <c r="E14" s="476"/>
      <c r="F14" s="221"/>
      <c r="G14" s="221" t="s">
        <v>320</v>
      </c>
      <c r="H14" s="221"/>
      <c r="I14" s="226"/>
      <c r="J14" s="226"/>
      <c r="K14" s="226"/>
      <c r="L14" s="19"/>
      <c r="M14" s="8"/>
      <c r="N14" s="8"/>
    </row>
    <row r="15" spans="3:15" ht="15" customHeight="1" x14ac:dyDescent="0.45">
      <c r="C15" s="238"/>
      <c r="D15" s="238"/>
      <c r="E15" s="238"/>
      <c r="F15" s="221"/>
      <c r="G15" s="221"/>
      <c r="H15" s="221"/>
      <c r="I15" s="226"/>
      <c r="J15" s="226"/>
      <c r="K15" s="226"/>
      <c r="L15" s="19"/>
      <c r="M15" s="8"/>
      <c r="N15" s="8"/>
    </row>
    <row r="16" spans="3:15" ht="15" customHeight="1" x14ac:dyDescent="0.45">
      <c r="C16" s="476" t="s">
        <v>245</v>
      </c>
      <c r="D16" s="476"/>
      <c r="E16" s="476"/>
      <c r="F16" s="221"/>
      <c r="G16" s="221"/>
      <c r="H16" s="239" t="s">
        <v>316</v>
      </c>
      <c r="I16" s="239" t="s">
        <v>2</v>
      </c>
      <c r="J16" s="239" t="s">
        <v>407</v>
      </c>
      <c r="K16" s="239" t="s">
        <v>306</v>
      </c>
      <c r="L16" s="19"/>
      <c r="M16" s="8"/>
      <c r="N16" s="8"/>
    </row>
    <row r="17" spans="3:15" ht="15" customHeight="1" x14ac:dyDescent="0.45">
      <c r="C17" s="221"/>
      <c r="D17" s="221"/>
      <c r="E17" s="226" t="s">
        <v>245</v>
      </c>
      <c r="F17" s="226"/>
      <c r="G17" s="240" t="s">
        <v>245</v>
      </c>
      <c r="H17" s="222" t="s">
        <v>245</v>
      </c>
      <c r="I17" s="241" t="s">
        <v>245</v>
      </c>
      <c r="J17" s="241"/>
      <c r="K17" s="230" t="s">
        <v>245</v>
      </c>
      <c r="L17" s="201"/>
      <c r="M17" s="8"/>
      <c r="N17" s="8"/>
    </row>
    <row r="18" spans="3:15" ht="20.149999999999999" customHeight="1" x14ac:dyDescent="0.45">
      <c r="C18" s="221"/>
      <c r="D18" s="221"/>
      <c r="E18" s="226" t="s">
        <v>52</v>
      </c>
      <c r="F18" s="226"/>
      <c r="G18" s="240" t="s">
        <v>140</v>
      </c>
      <c r="H18" s="222">
        <v>1808</v>
      </c>
      <c r="I18" s="222">
        <v>300</v>
      </c>
      <c r="J18" s="222">
        <v>0</v>
      </c>
      <c r="K18" s="222">
        <f>H18-I18-J18</f>
        <v>1508</v>
      </c>
      <c r="L18" s="216"/>
      <c r="M18" s="8"/>
      <c r="N18" s="8"/>
    </row>
    <row r="19" spans="3:15" ht="20.149999999999999" customHeight="1" x14ac:dyDescent="0.45">
      <c r="C19" s="221"/>
      <c r="D19" s="221"/>
      <c r="E19" s="226" t="s">
        <v>52</v>
      </c>
      <c r="F19" s="226"/>
      <c r="G19" s="240">
        <v>20</v>
      </c>
      <c r="H19" s="222">
        <v>55</v>
      </c>
      <c r="I19" s="222">
        <v>0</v>
      </c>
      <c r="J19" s="222">
        <v>0</v>
      </c>
      <c r="K19" s="222">
        <f t="shared" ref="K19:K27" si="0">H19-I19-J19</f>
        <v>55</v>
      </c>
      <c r="L19" s="216"/>
      <c r="M19" s="8"/>
      <c r="N19" s="8"/>
    </row>
    <row r="20" spans="3:15" ht="20.149999999999999" customHeight="1" x14ac:dyDescent="0.75">
      <c r="C20" s="221"/>
      <c r="D20" s="221"/>
      <c r="E20" s="226" t="s">
        <v>52</v>
      </c>
      <c r="F20" s="226"/>
      <c r="G20" s="240">
        <v>27</v>
      </c>
      <c r="H20" s="266">
        <v>1433</v>
      </c>
      <c r="I20" s="266">
        <v>350</v>
      </c>
      <c r="J20" s="266">
        <v>0</v>
      </c>
      <c r="K20" s="266">
        <f t="shared" si="0"/>
        <v>1083</v>
      </c>
      <c r="L20" s="216"/>
      <c r="M20" s="8"/>
      <c r="N20" s="8"/>
    </row>
    <row r="21" spans="3:15" ht="20.149999999999999" hidden="1" customHeight="1" x14ac:dyDescent="0.45">
      <c r="C21" s="221"/>
      <c r="D21" s="221"/>
      <c r="E21" s="226"/>
      <c r="F21" s="226"/>
      <c r="G21" s="240"/>
      <c r="H21" s="222"/>
      <c r="I21" s="222"/>
      <c r="J21" s="222"/>
      <c r="K21" s="222"/>
      <c r="L21" s="216"/>
      <c r="M21" s="8"/>
      <c r="N21" s="8"/>
    </row>
    <row r="22" spans="3:15" ht="20.149999999999999" hidden="1" customHeight="1" x14ac:dyDescent="0.45">
      <c r="C22" s="221"/>
      <c r="D22" s="221"/>
      <c r="E22" s="226"/>
      <c r="F22" s="226"/>
      <c r="G22" s="240"/>
      <c r="H22" s="222"/>
      <c r="I22" s="222"/>
      <c r="J22" s="222"/>
      <c r="K22" s="222"/>
      <c r="L22" s="216"/>
      <c r="M22" s="8"/>
      <c r="N22" s="8"/>
    </row>
    <row r="23" spans="3:15" ht="20.149999999999999" hidden="1" customHeight="1" x14ac:dyDescent="0.45">
      <c r="C23" s="221"/>
      <c r="D23" s="221"/>
      <c r="E23" s="226"/>
      <c r="F23" s="226"/>
      <c r="G23" s="240"/>
      <c r="H23" s="222"/>
      <c r="I23" s="222"/>
      <c r="J23" s="222"/>
      <c r="K23" s="222"/>
      <c r="L23" s="216"/>
      <c r="M23" s="8"/>
      <c r="N23" s="8"/>
    </row>
    <row r="24" spans="3:15" ht="20.149999999999999" hidden="1" customHeight="1" x14ac:dyDescent="0.45">
      <c r="C24" s="221"/>
      <c r="D24" s="221"/>
      <c r="E24" s="226"/>
      <c r="F24" s="226"/>
      <c r="G24" s="240"/>
      <c r="H24" s="222"/>
      <c r="I24" s="222"/>
      <c r="J24" s="222"/>
      <c r="K24" s="222"/>
      <c r="L24" s="216"/>
      <c r="M24" s="8"/>
      <c r="N24" s="8"/>
    </row>
    <row r="25" spans="3:15" ht="20.149999999999999" hidden="1" customHeight="1" x14ac:dyDescent="0.45">
      <c r="C25" s="221"/>
      <c r="D25" s="221"/>
      <c r="E25" s="226"/>
      <c r="F25" s="226"/>
      <c r="G25" s="240"/>
      <c r="H25" s="222"/>
      <c r="I25" s="222"/>
      <c r="J25" s="222"/>
      <c r="K25" s="222"/>
      <c r="L25" s="216"/>
      <c r="M25" s="8"/>
      <c r="N25" s="8"/>
    </row>
    <row r="26" spans="3:15" ht="20.149999999999999" hidden="1" customHeight="1" x14ac:dyDescent="0.45">
      <c r="C26" s="221"/>
      <c r="D26" s="221"/>
      <c r="E26" s="226" t="s">
        <v>245</v>
      </c>
      <c r="F26" s="226"/>
      <c r="G26" s="240" t="s">
        <v>245</v>
      </c>
      <c r="H26" s="222">
        <v>0</v>
      </c>
      <c r="I26" s="222">
        <v>0</v>
      </c>
      <c r="J26" s="222">
        <v>0</v>
      </c>
      <c r="K26" s="222">
        <f t="shared" ref="K26" si="1">H26-I26-J26</f>
        <v>0</v>
      </c>
      <c r="L26" s="216"/>
      <c r="M26" s="8"/>
      <c r="N26" s="8"/>
    </row>
    <row r="27" spans="3:15" ht="20.149999999999999" hidden="1" customHeight="1" x14ac:dyDescent="0.75">
      <c r="C27" s="221"/>
      <c r="D27" s="221"/>
      <c r="E27" s="226" t="s">
        <v>245</v>
      </c>
      <c r="F27" s="226"/>
      <c r="G27" s="240" t="s">
        <v>245</v>
      </c>
      <c r="H27" s="265">
        <v>0</v>
      </c>
      <c r="I27" s="266">
        <v>0</v>
      </c>
      <c r="J27" s="266">
        <v>0</v>
      </c>
      <c r="K27" s="266">
        <f t="shared" si="0"/>
        <v>0</v>
      </c>
      <c r="L27" s="216"/>
      <c r="M27" s="8"/>
      <c r="N27" s="8"/>
      <c r="O27" s="272"/>
    </row>
    <row r="28" spans="3:15" ht="20.149999999999999" hidden="1" customHeight="1" x14ac:dyDescent="0.45">
      <c r="C28" s="221"/>
      <c r="D28" s="221"/>
      <c r="E28" s="336" t="s">
        <v>67</v>
      </c>
      <c r="F28" s="226"/>
      <c r="G28" s="240">
        <v>18</v>
      </c>
      <c r="H28" s="337">
        <v>0</v>
      </c>
      <c r="I28" s="222">
        <v>0</v>
      </c>
      <c r="J28" s="222">
        <v>0</v>
      </c>
      <c r="K28" s="222">
        <f>H28-I28</f>
        <v>0</v>
      </c>
      <c r="L28" s="216"/>
      <c r="M28" s="8"/>
      <c r="N28" s="8"/>
      <c r="O28" s="272"/>
    </row>
    <row r="29" spans="3:15" ht="20.149999999999999" hidden="1" customHeight="1" x14ac:dyDescent="0.45">
      <c r="C29" s="221"/>
      <c r="D29" s="221"/>
      <c r="E29" s="336" t="s">
        <v>67</v>
      </c>
      <c r="F29" s="226"/>
      <c r="G29" s="240">
        <v>19</v>
      </c>
      <c r="H29" s="337">
        <v>0</v>
      </c>
      <c r="I29" s="222">
        <v>0</v>
      </c>
      <c r="J29" s="222">
        <v>0</v>
      </c>
      <c r="K29" s="222">
        <f>H29-I29</f>
        <v>0</v>
      </c>
      <c r="L29" s="216"/>
      <c r="M29" s="8"/>
      <c r="N29" s="8"/>
      <c r="O29" s="272"/>
    </row>
    <row r="30" spans="3:15" ht="20.149999999999999" hidden="1" customHeight="1" x14ac:dyDescent="0.45">
      <c r="C30" s="221"/>
      <c r="D30" s="221"/>
      <c r="E30" s="226" t="s">
        <v>67</v>
      </c>
      <c r="F30" s="226"/>
      <c r="G30" s="240">
        <v>20</v>
      </c>
      <c r="H30" s="223">
        <v>0</v>
      </c>
      <c r="I30" s="222">
        <v>0</v>
      </c>
      <c r="J30" s="222">
        <v>0</v>
      </c>
      <c r="K30" s="222">
        <f>H30-I30</f>
        <v>0</v>
      </c>
      <c r="L30" s="216"/>
      <c r="M30" s="8"/>
      <c r="N30" s="8"/>
    </row>
    <row r="31" spans="3:15" ht="20.149999999999999" hidden="1" customHeight="1" x14ac:dyDescent="0.75">
      <c r="C31" s="221"/>
      <c r="D31" s="221"/>
      <c r="E31" s="226" t="s">
        <v>67</v>
      </c>
      <c r="F31" s="226"/>
      <c r="G31" s="240">
        <v>27</v>
      </c>
      <c r="H31" s="265">
        <v>0</v>
      </c>
      <c r="I31" s="266">
        <v>0</v>
      </c>
      <c r="J31" s="266">
        <v>0</v>
      </c>
      <c r="K31" s="266">
        <f>H31-I31</f>
        <v>0</v>
      </c>
      <c r="L31" s="216"/>
      <c r="M31" s="44" t="s">
        <v>245</v>
      </c>
      <c r="N31" s="8"/>
      <c r="O31" t="s">
        <v>355</v>
      </c>
    </row>
    <row r="32" spans="3:15" ht="15" customHeight="1" x14ac:dyDescent="0.45">
      <c r="C32" s="221"/>
      <c r="D32" s="221"/>
      <c r="E32" s="226"/>
      <c r="F32" s="226"/>
      <c r="G32" s="240"/>
      <c r="H32" s="223"/>
      <c r="I32" s="222"/>
      <c r="J32" s="222"/>
      <c r="K32" s="222"/>
      <c r="L32" s="216"/>
      <c r="M32" s="44"/>
      <c r="N32" s="8"/>
    </row>
    <row r="33" spans="3:16" ht="15" customHeight="1" x14ac:dyDescent="0.45">
      <c r="C33" s="221"/>
      <c r="D33" s="221"/>
      <c r="E33" s="238" t="s">
        <v>65</v>
      </c>
      <c r="F33" s="221"/>
      <c r="G33" s="226"/>
      <c r="H33" s="288">
        <f>SUM(H18:H31)</f>
        <v>3296</v>
      </c>
      <c r="I33" s="296">
        <f>SUM(I18:I31)</f>
        <v>650</v>
      </c>
      <c r="J33" s="288">
        <f>SUM(J18:J31)</f>
        <v>0</v>
      </c>
      <c r="K33" s="248">
        <f>SUM(K18:K31)</f>
        <v>2646</v>
      </c>
      <c r="L33" s="218"/>
      <c r="M33" s="44" t="s">
        <v>245</v>
      </c>
      <c r="N33" s="8"/>
      <c r="O33" s="7" t="s">
        <v>245</v>
      </c>
      <c r="P33" s="135"/>
    </row>
    <row r="34" spans="3:16" ht="15" customHeight="1" x14ac:dyDescent="0.45">
      <c r="C34" s="221"/>
      <c r="D34" s="221"/>
      <c r="E34" s="221"/>
      <c r="F34" s="221"/>
      <c r="G34" s="226"/>
      <c r="H34" s="224"/>
      <c r="I34" s="222"/>
      <c r="J34" s="222"/>
      <c r="K34" s="222"/>
      <c r="L34" s="216"/>
      <c r="M34" s="44"/>
      <c r="N34" s="8"/>
    </row>
    <row r="35" spans="3:16" ht="15.75" customHeight="1" x14ac:dyDescent="0.45">
      <c r="C35" s="220" t="s">
        <v>245</v>
      </c>
      <c r="D35" s="221"/>
      <c r="E35" s="221"/>
      <c r="F35" s="221"/>
      <c r="G35" s="226"/>
      <c r="H35" s="224"/>
      <c r="I35" s="222"/>
      <c r="J35" s="222"/>
      <c r="K35" s="248" t="s">
        <v>245</v>
      </c>
      <c r="L35" s="216"/>
      <c r="M35" s="44"/>
      <c r="N35" s="8"/>
      <c r="P35" s="135"/>
    </row>
    <row r="36" spans="3:16" ht="15" customHeight="1" x14ac:dyDescent="0.45">
      <c r="C36" s="221"/>
      <c r="D36" s="221"/>
      <c r="E36" s="221"/>
      <c r="F36" s="221"/>
      <c r="G36" s="226"/>
      <c r="H36" s="224"/>
      <c r="I36" s="222"/>
      <c r="J36" s="222"/>
      <c r="K36" s="222"/>
      <c r="L36" s="216"/>
      <c r="M36" s="44"/>
      <c r="N36" s="8"/>
    </row>
    <row r="37" spans="3:16" ht="15" customHeight="1" x14ac:dyDescent="0.45">
      <c r="C37" s="220" t="s">
        <v>748</v>
      </c>
      <c r="D37" s="220"/>
      <c r="E37" s="220"/>
      <c r="F37" s="220"/>
      <c r="G37" s="220"/>
      <c r="H37" s="220"/>
      <c r="I37" s="220"/>
      <c r="J37" s="297"/>
      <c r="K37" s="219" t="s">
        <v>245</v>
      </c>
      <c r="L37" s="219"/>
      <c r="M37" s="225" t="s">
        <v>245</v>
      </c>
      <c r="N37" s="8"/>
    </row>
    <row r="38" spans="3:16" ht="15" customHeight="1" x14ac:dyDescent="0.45">
      <c r="C38" s="220"/>
      <c r="D38" s="221"/>
      <c r="E38" s="221"/>
      <c r="F38" s="221"/>
      <c r="G38" s="221"/>
      <c r="H38" s="226"/>
      <c r="I38" s="230"/>
      <c r="J38" s="230"/>
      <c r="K38" s="219"/>
      <c r="L38" s="219"/>
      <c r="M38" s="225"/>
      <c r="N38" s="8"/>
    </row>
    <row r="39" spans="3:16" ht="22.95" customHeight="1" x14ac:dyDescent="0.45">
      <c r="C39" s="220"/>
      <c r="D39" s="221"/>
      <c r="E39" s="220" t="s">
        <v>674</v>
      </c>
      <c r="F39" s="220"/>
      <c r="G39" s="220"/>
      <c r="H39" s="220"/>
      <c r="I39" s="230"/>
      <c r="J39" s="230"/>
      <c r="K39" s="299">
        <f>'Apr 2025 Sched A'!I49</f>
        <v>0</v>
      </c>
      <c r="L39" s="219"/>
      <c r="M39" s="231" t="s">
        <v>245</v>
      </c>
      <c r="N39" s="8"/>
      <c r="O39" s="304"/>
      <c r="P39" s="135"/>
    </row>
    <row r="40" spans="3:16" ht="15" customHeight="1" x14ac:dyDescent="0.75">
      <c r="C40" s="242"/>
      <c r="D40" s="236"/>
      <c r="E40" s="243"/>
      <c r="F40" s="236"/>
      <c r="G40" s="226"/>
      <c r="H40" s="226"/>
      <c r="I40" s="226"/>
      <c r="J40" s="226"/>
      <c r="K40" s="222"/>
      <c r="L40" s="222"/>
      <c r="M40" s="244"/>
      <c r="N40" s="8"/>
    </row>
    <row r="41" spans="3:16" ht="20.149999999999999" customHeight="1" x14ac:dyDescent="0.85">
      <c r="C41" s="220" t="s">
        <v>854</v>
      </c>
      <c r="D41" s="220"/>
      <c r="E41" s="221"/>
      <c r="F41" s="221"/>
      <c r="G41" s="221"/>
      <c r="H41" s="221"/>
      <c r="I41" s="221"/>
      <c r="J41" s="221"/>
      <c r="K41" s="446">
        <v>15400</v>
      </c>
      <c r="L41" s="221"/>
      <c r="M41" s="447">
        <f>SUM(K33:K41)</f>
        <v>18046</v>
      </c>
      <c r="N41" s="8"/>
      <c r="P41" s="135"/>
    </row>
    <row r="42" spans="3:16" ht="18" customHeight="1" x14ac:dyDescent="0.45">
      <c r="C42" s="220"/>
      <c r="D42" s="220"/>
      <c r="E42" s="505" t="s">
        <v>245</v>
      </c>
      <c r="F42" s="505"/>
      <c r="G42" s="505"/>
      <c r="H42" s="221"/>
      <c r="I42" s="221"/>
      <c r="J42" s="221"/>
      <c r="K42" s="355" t="s">
        <v>245</v>
      </c>
      <c r="L42" s="221"/>
      <c r="M42" s="353"/>
      <c r="N42" s="8"/>
      <c r="P42" s="135"/>
    </row>
    <row r="43" spans="3:16" ht="18" customHeight="1" x14ac:dyDescent="0.45">
      <c r="C43" s="220"/>
      <c r="D43" s="220"/>
      <c r="E43" s="505" t="s">
        <v>245</v>
      </c>
      <c r="F43" s="505"/>
      <c r="G43" s="505"/>
      <c r="H43" s="221"/>
      <c r="I43" s="221"/>
      <c r="J43" s="221"/>
      <c r="K43" s="448" t="s">
        <v>245</v>
      </c>
      <c r="L43" s="221"/>
      <c r="M43" s="353" t="s">
        <v>245</v>
      </c>
      <c r="N43" s="8"/>
    </row>
    <row r="44" spans="3:16" ht="20.149999999999999" customHeight="1" x14ac:dyDescent="0.45">
      <c r="C44" s="220" t="s">
        <v>313</v>
      </c>
      <c r="D44" s="220"/>
      <c r="E44" s="221"/>
      <c r="F44" s="221"/>
      <c r="G44" s="221"/>
      <c r="H44" s="221"/>
      <c r="I44" s="221"/>
      <c r="J44" s="221"/>
      <c r="K44" s="221"/>
      <c r="L44" s="247" t="s">
        <v>326</v>
      </c>
      <c r="M44" s="219">
        <f>M10+M41</f>
        <v>21074.680000000008</v>
      </c>
      <c r="N44" s="8"/>
      <c r="O44" t="s">
        <v>245</v>
      </c>
    </row>
    <row r="45" spans="3:16" ht="13.5" customHeight="1" x14ac:dyDescent="0.45">
      <c r="C45" s="220"/>
      <c r="D45" s="220"/>
      <c r="E45" s="221"/>
      <c r="F45" s="221"/>
      <c r="G45" s="221"/>
      <c r="H45" s="221"/>
      <c r="I45" s="221"/>
      <c r="J45" s="221"/>
      <c r="K45" s="221"/>
      <c r="L45" s="221"/>
      <c r="M45" s="221"/>
      <c r="N45" s="8"/>
    </row>
    <row r="46" spans="3:16" ht="13.5" customHeight="1" x14ac:dyDescent="0.45">
      <c r="C46" s="220"/>
      <c r="D46" s="220"/>
      <c r="E46" s="221"/>
      <c r="F46" s="221"/>
      <c r="G46" s="221"/>
      <c r="H46" s="221"/>
      <c r="I46" s="221"/>
      <c r="J46" s="221"/>
      <c r="K46" s="221"/>
      <c r="L46" s="221"/>
      <c r="M46" s="221"/>
      <c r="N46" s="8"/>
    </row>
    <row r="47" spans="3:16" ht="13.5" customHeight="1" x14ac:dyDescent="0.45">
      <c r="C47" s="220" t="s">
        <v>855</v>
      </c>
      <c r="D47" s="220"/>
      <c r="E47" s="221"/>
      <c r="F47" s="221"/>
      <c r="G47" s="221"/>
      <c r="H47" s="221"/>
      <c r="I47" s="221"/>
      <c r="J47" s="221"/>
      <c r="K47" s="221"/>
      <c r="L47" s="221"/>
      <c r="M47" s="221"/>
      <c r="N47" s="8"/>
    </row>
    <row r="48" spans="3:16" ht="15" customHeight="1" x14ac:dyDescent="0.45">
      <c r="C48" s="221" t="s">
        <v>245</v>
      </c>
      <c r="D48" s="221"/>
      <c r="E48" s="221" t="s">
        <v>245</v>
      </c>
      <c r="F48" s="221"/>
      <c r="G48" s="221"/>
      <c r="H48" s="221"/>
      <c r="I48" s="221"/>
      <c r="J48" s="221"/>
      <c r="K48" s="221"/>
      <c r="L48" s="221"/>
      <c r="M48" s="221"/>
      <c r="N48" s="8"/>
    </row>
    <row r="49" spans="3:14" ht="15" customHeight="1" x14ac:dyDescent="0.45">
      <c r="C49" s="239" t="s">
        <v>5</v>
      </c>
      <c r="D49" s="226"/>
      <c r="E49" s="226" t="s">
        <v>257</v>
      </c>
      <c r="F49" s="226"/>
      <c r="G49" s="487" t="s">
        <v>373</v>
      </c>
      <c r="H49" s="487"/>
      <c r="I49" s="487"/>
      <c r="J49" s="236"/>
      <c r="K49" s="236" t="s">
        <v>123</v>
      </c>
      <c r="L49" s="221"/>
      <c r="M49" s="226" t="s">
        <v>245</v>
      </c>
      <c r="N49" s="19"/>
    </row>
    <row r="50" spans="3:14" ht="15" customHeight="1" x14ac:dyDescent="0.45">
      <c r="C50" s="226"/>
      <c r="D50" s="226"/>
      <c r="E50" s="226"/>
      <c r="F50" s="226"/>
      <c r="G50" s="221"/>
      <c r="H50" s="221"/>
      <c r="I50" s="221"/>
      <c r="J50" s="221"/>
      <c r="K50" s="221"/>
      <c r="L50" s="221"/>
      <c r="M50" s="226"/>
      <c r="N50" s="19"/>
    </row>
    <row r="51" spans="3:14" ht="20.149999999999999" customHeight="1" x14ac:dyDescent="0.45">
      <c r="C51" s="292" t="s">
        <v>859</v>
      </c>
      <c r="D51" s="226"/>
      <c r="E51" s="226"/>
      <c r="F51" s="226"/>
      <c r="G51" s="228" t="s">
        <v>865</v>
      </c>
      <c r="H51" s="221"/>
      <c r="I51" s="221"/>
      <c r="J51" s="221"/>
      <c r="K51" s="222">
        <v>693</v>
      </c>
      <c r="L51" s="221"/>
      <c r="M51" s="226"/>
      <c r="N51" s="19"/>
    </row>
    <row r="52" spans="3:14" ht="20.149999999999999" hidden="1" customHeight="1" x14ac:dyDescent="0.45">
      <c r="C52" s="292"/>
      <c r="D52" s="226"/>
      <c r="E52" s="226"/>
      <c r="F52" s="226"/>
      <c r="G52" s="228"/>
      <c r="H52" s="221" t="s">
        <v>796</v>
      </c>
      <c r="I52" s="221"/>
      <c r="J52" s="221"/>
      <c r="K52" s="222"/>
      <c r="L52" s="221"/>
      <c r="M52" s="226"/>
      <c r="N52" s="19"/>
    </row>
    <row r="53" spans="3:14" ht="20.149999999999999" customHeight="1" x14ac:dyDescent="0.45">
      <c r="C53" s="292" t="s">
        <v>860</v>
      </c>
      <c r="D53" s="226"/>
      <c r="E53" s="226"/>
      <c r="F53" s="226"/>
      <c r="G53" s="228" t="s">
        <v>866</v>
      </c>
      <c r="H53" s="221"/>
      <c r="I53" s="221"/>
      <c r="J53" s="221"/>
      <c r="K53" s="222">
        <v>1400</v>
      </c>
      <c r="L53" s="221"/>
      <c r="M53" s="226"/>
      <c r="N53" s="19"/>
    </row>
    <row r="54" spans="3:14" ht="20.149999999999999" hidden="1" customHeight="1" x14ac:dyDescent="0.45">
      <c r="C54" s="292" t="s">
        <v>859</v>
      </c>
      <c r="D54" s="226"/>
      <c r="E54" s="226"/>
      <c r="F54" s="226"/>
      <c r="G54" s="228"/>
      <c r="H54" s="221" t="s">
        <v>798</v>
      </c>
      <c r="I54" s="221"/>
      <c r="J54" s="221"/>
      <c r="K54" s="222"/>
      <c r="L54" s="221"/>
      <c r="M54" s="226"/>
      <c r="N54" s="19"/>
    </row>
    <row r="55" spans="3:14" ht="20.149999999999999" customHeight="1" x14ac:dyDescent="0.45">
      <c r="C55" s="292" t="s">
        <v>861</v>
      </c>
      <c r="D55" s="226"/>
      <c r="E55" s="226"/>
      <c r="F55" s="226"/>
      <c r="G55" s="286" t="s">
        <v>867</v>
      </c>
      <c r="H55" s="221"/>
      <c r="I55" s="221"/>
      <c r="J55" s="221"/>
      <c r="K55" s="222">
        <v>1300</v>
      </c>
      <c r="L55" s="221"/>
      <c r="M55" s="226"/>
      <c r="N55" s="19"/>
    </row>
    <row r="56" spans="3:14" ht="20.149999999999999" customHeight="1" x14ac:dyDescent="0.45">
      <c r="C56" s="292" t="s">
        <v>861</v>
      </c>
      <c r="D56" s="226"/>
      <c r="E56" s="226"/>
      <c r="F56" s="226"/>
      <c r="G56" s="228" t="s">
        <v>869</v>
      </c>
      <c r="H56" s="221"/>
      <c r="I56" s="221"/>
      <c r="J56" s="221"/>
      <c r="K56" s="222">
        <v>430.55</v>
      </c>
      <c r="L56" s="221"/>
      <c r="M56" s="226"/>
      <c r="N56" s="19"/>
    </row>
    <row r="57" spans="3:14" ht="20.149999999999999" customHeight="1" x14ac:dyDescent="0.45">
      <c r="C57" s="292" t="s">
        <v>862</v>
      </c>
      <c r="D57" s="226"/>
      <c r="E57" s="226"/>
      <c r="F57" s="226"/>
      <c r="G57" s="228" t="s">
        <v>868</v>
      </c>
      <c r="H57" s="221"/>
      <c r="I57" s="221"/>
      <c r="J57" s="221"/>
      <c r="K57" s="222">
        <v>400</v>
      </c>
      <c r="L57" s="221"/>
      <c r="M57" s="226"/>
      <c r="N57" s="19"/>
    </row>
    <row r="58" spans="3:14" ht="20.149999999999999" customHeight="1" x14ac:dyDescent="0.45">
      <c r="C58" s="292" t="s">
        <v>863</v>
      </c>
      <c r="D58" s="226"/>
      <c r="E58" s="226"/>
      <c r="F58" s="226"/>
      <c r="G58" s="228" t="s">
        <v>870</v>
      </c>
      <c r="H58" s="221"/>
      <c r="I58" s="221"/>
      <c r="J58" s="221"/>
      <c r="K58" s="222">
        <v>1500</v>
      </c>
      <c r="L58" s="221"/>
      <c r="M58" s="226"/>
      <c r="N58" s="19"/>
    </row>
    <row r="59" spans="3:14" ht="20.149999999999999" hidden="1" customHeight="1" x14ac:dyDescent="0.45">
      <c r="C59" s="292" t="s">
        <v>862</v>
      </c>
      <c r="D59" s="226"/>
      <c r="E59" s="226"/>
      <c r="F59" s="226"/>
      <c r="G59" s="228" t="s">
        <v>806</v>
      </c>
      <c r="H59" s="221"/>
      <c r="I59" s="221"/>
      <c r="J59" s="221"/>
      <c r="K59" s="222">
        <v>0</v>
      </c>
      <c r="L59" s="221"/>
      <c r="M59" s="226"/>
      <c r="N59" s="19"/>
    </row>
    <row r="60" spans="3:14" ht="20.149999999999999" hidden="1" customHeight="1" x14ac:dyDescent="0.45">
      <c r="C60" s="292" t="s">
        <v>862</v>
      </c>
      <c r="D60" s="226"/>
      <c r="E60" s="226"/>
      <c r="F60" s="226"/>
      <c r="G60" s="228" t="s">
        <v>809</v>
      </c>
      <c r="H60" s="221"/>
      <c r="I60" s="221"/>
      <c r="J60" s="221"/>
      <c r="K60" s="222">
        <v>0</v>
      </c>
      <c r="L60" s="221"/>
      <c r="M60" s="226"/>
      <c r="N60" s="19"/>
    </row>
    <row r="61" spans="3:14" ht="20.149999999999999" hidden="1" customHeight="1" x14ac:dyDescent="0.45">
      <c r="C61" s="292" t="s">
        <v>862</v>
      </c>
      <c r="D61" s="226"/>
      <c r="E61" s="226"/>
      <c r="F61" s="226"/>
      <c r="G61" s="228" t="s">
        <v>810</v>
      </c>
      <c r="H61" s="221"/>
      <c r="I61" s="221"/>
      <c r="J61" s="221"/>
      <c r="K61" s="222">
        <v>0</v>
      </c>
      <c r="L61" s="221"/>
      <c r="M61" s="226"/>
      <c r="N61" s="19"/>
    </row>
    <row r="62" spans="3:14" ht="20.149999999999999" hidden="1" customHeight="1" x14ac:dyDescent="0.45">
      <c r="C62" s="292" t="s">
        <v>862</v>
      </c>
      <c r="D62" s="226"/>
      <c r="E62" s="226"/>
      <c r="F62" s="226"/>
      <c r="G62" s="228" t="s">
        <v>811</v>
      </c>
      <c r="H62" s="221"/>
      <c r="I62" s="221"/>
      <c r="J62" s="221"/>
      <c r="K62" s="222">
        <v>0</v>
      </c>
      <c r="L62" s="221"/>
      <c r="M62" s="226"/>
      <c r="N62" s="19"/>
    </row>
    <row r="63" spans="3:14" ht="20.149999999999999" hidden="1" customHeight="1" x14ac:dyDescent="0.45">
      <c r="C63" s="292" t="s">
        <v>862</v>
      </c>
      <c r="D63" s="226"/>
      <c r="E63" s="226"/>
      <c r="F63" s="226"/>
      <c r="G63" s="228" t="s">
        <v>812</v>
      </c>
      <c r="H63" s="221"/>
      <c r="I63" s="221"/>
      <c r="J63" s="221"/>
      <c r="K63" s="222">
        <v>0</v>
      </c>
      <c r="L63" s="221"/>
      <c r="M63" s="226"/>
      <c r="N63" s="19"/>
    </row>
    <row r="64" spans="3:14" ht="20.149999999999999" customHeight="1" x14ac:dyDescent="0.45">
      <c r="C64" s="292" t="s">
        <v>864</v>
      </c>
      <c r="D64" s="438"/>
      <c r="E64" s="438"/>
      <c r="F64" s="438"/>
      <c r="G64" s="286" t="s">
        <v>871</v>
      </c>
      <c r="H64" s="287"/>
      <c r="I64" s="287"/>
      <c r="J64" s="287"/>
      <c r="K64" s="437">
        <v>625</v>
      </c>
      <c r="L64" s="221"/>
      <c r="M64" s="226"/>
      <c r="N64" s="19"/>
    </row>
    <row r="65" spans="2:19" ht="20.149999999999999" customHeight="1" x14ac:dyDescent="0.45">
      <c r="C65" s="292"/>
      <c r="D65" s="226"/>
      <c r="E65" s="226"/>
      <c r="F65" s="226"/>
      <c r="G65" s="228" t="s">
        <v>873</v>
      </c>
      <c r="H65" s="449"/>
      <c r="I65" s="449"/>
      <c r="J65" s="449"/>
      <c r="K65" s="222">
        <v>3000</v>
      </c>
      <c r="L65" s="221"/>
      <c r="M65" s="226"/>
      <c r="N65" s="19"/>
    </row>
    <row r="66" spans="2:19" ht="20.149999999999999" customHeight="1" x14ac:dyDescent="0.85">
      <c r="C66" s="292" t="s">
        <v>864</v>
      </c>
      <c r="D66" s="438"/>
      <c r="E66" s="438"/>
      <c r="F66" s="438"/>
      <c r="G66" s="286" t="s">
        <v>872</v>
      </c>
      <c r="H66" s="287"/>
      <c r="I66" s="287"/>
      <c r="J66" s="287"/>
      <c r="K66" s="437">
        <v>2000</v>
      </c>
      <c r="L66" s="221"/>
      <c r="M66" s="410">
        <f>SUM(K51:K66)</f>
        <v>11348.55</v>
      </c>
      <c r="N66" s="19"/>
    </row>
    <row r="67" spans="2:19" ht="20.149999999999999" customHeight="1" x14ac:dyDescent="0.75">
      <c r="C67" s="292" t="s">
        <v>245</v>
      </c>
      <c r="D67" s="226"/>
      <c r="E67" s="226"/>
      <c r="F67" s="226"/>
      <c r="G67" s="228"/>
      <c r="H67" s="221"/>
      <c r="I67" s="221"/>
      <c r="J67" s="221"/>
      <c r="K67" s="222"/>
      <c r="L67" s="222"/>
      <c r="M67" s="266"/>
      <c r="N67" s="19"/>
    </row>
    <row r="68" spans="2:19" ht="20.149999999999999" customHeight="1" x14ac:dyDescent="0.45">
      <c r="C68" s="220" t="s">
        <v>327</v>
      </c>
      <c r="D68" s="220"/>
      <c r="E68" s="221"/>
      <c r="F68" s="221"/>
      <c r="G68" s="221"/>
      <c r="H68" s="221"/>
      <c r="I68" s="221"/>
      <c r="J68" s="221"/>
      <c r="K68" s="221"/>
      <c r="L68" s="221"/>
      <c r="M68" s="231">
        <f>M44-M66</f>
        <v>9726.1300000000083</v>
      </c>
      <c r="N68" s="44"/>
      <c r="O68" t="s">
        <v>245</v>
      </c>
      <c r="P68" s="7" t="s">
        <v>245</v>
      </c>
    </row>
    <row r="69" spans="2:19" ht="13.5" customHeight="1" x14ac:dyDescent="0.45">
      <c r="C69" s="221"/>
      <c r="D69" s="221"/>
      <c r="E69" s="221"/>
      <c r="F69" s="221"/>
      <c r="G69" s="221"/>
      <c r="H69" s="221"/>
      <c r="I69" s="221"/>
      <c r="J69" s="221"/>
      <c r="K69" s="221"/>
      <c r="L69" s="221"/>
      <c r="M69" s="225"/>
      <c r="N69" s="44"/>
    </row>
    <row r="70" spans="2:19" ht="20.149999999999999" customHeight="1" x14ac:dyDescent="0.45">
      <c r="C70" s="220" t="s">
        <v>858</v>
      </c>
      <c r="D70" s="221"/>
      <c r="E70" s="221"/>
      <c r="F70" s="221"/>
      <c r="G70" s="221"/>
      <c r="H70" s="221"/>
      <c r="I70" s="221"/>
      <c r="J70" s="221"/>
      <c r="K70" s="221"/>
      <c r="L70" s="221"/>
      <c r="M70" s="393">
        <v>0</v>
      </c>
      <c r="N70" s="44"/>
    </row>
    <row r="71" spans="2:19" ht="20.149999999999999" hidden="1" customHeight="1" x14ac:dyDescent="0.85">
      <c r="C71" s="220"/>
      <c r="D71" s="221"/>
      <c r="E71" s="505" t="s">
        <v>769</v>
      </c>
      <c r="F71" s="505"/>
      <c r="G71" s="505"/>
      <c r="H71" s="221"/>
      <c r="I71" s="221"/>
      <c r="J71" s="221"/>
      <c r="K71" s="411">
        <v>0</v>
      </c>
      <c r="L71" s="221"/>
      <c r="M71" s="264"/>
      <c r="N71" s="44"/>
    </row>
    <row r="72" spans="2:19" ht="20.149999999999999" hidden="1" customHeight="1" x14ac:dyDescent="0.85">
      <c r="C72" s="220"/>
      <c r="D72" s="221"/>
      <c r="E72" s="505" t="s">
        <v>769</v>
      </c>
      <c r="F72" s="505"/>
      <c r="G72" s="505"/>
      <c r="H72" s="221"/>
      <c r="I72" s="221"/>
      <c r="J72" s="221"/>
      <c r="K72" s="412">
        <v>0</v>
      </c>
      <c r="L72" s="221"/>
      <c r="M72" s="264">
        <f>SUM(K71:K72)</f>
        <v>0</v>
      </c>
      <c r="N72" s="44"/>
      <c r="O72">
        <v>12450</v>
      </c>
      <c r="P72" s="135">
        <f>K72-O72</f>
        <v>-12450</v>
      </c>
    </row>
    <row r="73" spans="2:19" ht="13.5" customHeight="1" x14ac:dyDescent="0.45">
      <c r="C73" s="221"/>
      <c r="D73" s="221"/>
      <c r="E73" s="221"/>
      <c r="F73" s="221"/>
      <c r="G73" s="221"/>
      <c r="H73" s="221"/>
      <c r="I73" s="221"/>
      <c r="J73" s="221"/>
      <c r="K73" s="221"/>
      <c r="L73" s="221"/>
      <c r="M73" s="225"/>
      <c r="N73" s="44"/>
    </row>
    <row r="74" spans="2:19" ht="24.45" customHeight="1" thickBot="1" x14ac:dyDescent="0.5">
      <c r="C74" s="220" t="s">
        <v>857</v>
      </c>
      <c r="D74" s="221"/>
      <c r="E74" s="221"/>
      <c r="F74" s="221"/>
      <c r="G74" s="221"/>
      <c r="H74" s="221"/>
      <c r="I74" s="221"/>
      <c r="J74" s="221"/>
      <c r="K74" s="221"/>
      <c r="L74" s="245" t="s">
        <v>326</v>
      </c>
      <c r="M74" s="232">
        <f>M68-M70</f>
        <v>9726.1300000000083</v>
      </c>
      <c r="N74" s="8"/>
      <c r="O74" s="2">
        <v>3028.68</v>
      </c>
      <c r="P74" s="135">
        <f>M74-6697.45</f>
        <v>3028.6800000000085</v>
      </c>
      <c r="Q74" s="135">
        <f>O74-P74</f>
        <v>-8.6401996668428183E-12</v>
      </c>
      <c r="R74" s="135" t="s">
        <v>712</v>
      </c>
      <c r="S74" s="135"/>
    </row>
    <row r="75" spans="2:19" ht="13.5" customHeight="1" thickTop="1" x14ac:dyDescent="0.45">
      <c r="C75" s="221"/>
      <c r="D75" s="221"/>
      <c r="E75" s="220"/>
      <c r="F75" s="220"/>
      <c r="G75" s="221"/>
      <c r="H75" s="221"/>
      <c r="I75" s="221"/>
      <c r="J75" s="221"/>
      <c r="K75" s="221"/>
      <c r="L75" s="221"/>
      <c r="M75" s="221"/>
      <c r="N75" s="8"/>
      <c r="O75" s="270"/>
    </row>
    <row r="76" spans="2:19" ht="13.5" customHeight="1" thickBot="1" x14ac:dyDescent="0.45">
      <c r="C76" s="8"/>
      <c r="D76" s="8"/>
      <c r="E76" s="13"/>
      <c r="F76" s="13"/>
      <c r="G76" s="8"/>
      <c r="H76" s="8"/>
      <c r="I76" s="8"/>
      <c r="J76" s="8"/>
      <c r="K76" s="8"/>
      <c r="L76" s="8"/>
      <c r="M76" s="8"/>
      <c r="N76" s="8"/>
    </row>
    <row r="77" spans="2:19" ht="13.5" customHeight="1" x14ac:dyDescent="0.45">
      <c r="B77" s="251"/>
      <c r="C77" s="493" t="s">
        <v>827</v>
      </c>
      <c r="D77" s="493"/>
      <c r="E77" s="493"/>
      <c r="F77" s="493"/>
      <c r="G77" s="493"/>
      <c r="H77" s="493"/>
      <c r="I77" s="252"/>
      <c r="J77" s="252"/>
      <c r="K77" s="252"/>
      <c r="L77" s="483" t="s">
        <v>326</v>
      </c>
      <c r="M77" s="479">
        <v>30111.73</v>
      </c>
      <c r="N77" s="253"/>
    </row>
    <row r="78" spans="2:19" ht="11.15" customHeight="1" x14ac:dyDescent="0.4">
      <c r="B78" s="254"/>
      <c r="C78" s="494"/>
      <c r="D78" s="494"/>
      <c r="E78" s="494"/>
      <c r="F78" s="494"/>
      <c r="G78" s="494"/>
      <c r="H78" s="494"/>
      <c r="I78" s="220"/>
      <c r="J78" s="220"/>
      <c r="K78" s="220"/>
      <c r="L78" s="484"/>
      <c r="M78" s="503"/>
      <c r="N78" s="255"/>
    </row>
    <row r="79" spans="2:19" ht="16.2" customHeight="1" x14ac:dyDescent="0.4">
      <c r="B79" s="256"/>
      <c r="C79" s="496" t="s">
        <v>790</v>
      </c>
      <c r="D79" s="496"/>
      <c r="E79" s="496"/>
      <c r="F79" s="496"/>
      <c r="G79" s="496"/>
      <c r="H79" s="496"/>
      <c r="I79" s="233"/>
      <c r="J79" s="233"/>
      <c r="K79" s="307" t="s">
        <v>245</v>
      </c>
      <c r="L79" s="233"/>
      <c r="M79" s="261">
        <v>0</v>
      </c>
      <c r="N79" s="174"/>
    </row>
    <row r="80" spans="2:19" ht="16.2" customHeight="1" thickBot="1" x14ac:dyDescent="0.5">
      <c r="B80" s="254"/>
      <c r="C80" s="497" t="s">
        <v>322</v>
      </c>
      <c r="D80" s="497"/>
      <c r="E80" s="497"/>
      <c r="F80" s="497"/>
      <c r="G80" s="497"/>
      <c r="H80" s="497"/>
      <c r="I80" s="302"/>
      <c r="J80" s="302"/>
      <c r="K80" s="303"/>
      <c r="L80" s="303"/>
      <c r="M80" s="261">
        <f>3.14-0.63</f>
        <v>2.5100000000000002</v>
      </c>
      <c r="N80" s="255"/>
    </row>
    <row r="81" spans="2:16" ht="16.2" hidden="1" customHeight="1" x14ac:dyDescent="0.45">
      <c r="B81" s="254"/>
      <c r="C81" s="496" t="s">
        <v>776</v>
      </c>
      <c r="D81" s="496"/>
      <c r="E81" s="496"/>
      <c r="F81" s="496"/>
      <c r="G81" s="496"/>
      <c r="H81" s="496"/>
      <c r="I81" s="221"/>
      <c r="J81" s="221"/>
      <c r="K81" s="230"/>
      <c r="L81" s="230"/>
      <c r="M81" s="262">
        <v>0</v>
      </c>
      <c r="N81" s="255"/>
    </row>
    <row r="82" spans="2:16" ht="13.5" customHeight="1" x14ac:dyDescent="0.4">
      <c r="B82" s="251"/>
      <c r="C82" s="498" t="s">
        <v>856</v>
      </c>
      <c r="D82" s="498"/>
      <c r="E82" s="498"/>
      <c r="F82" s="498"/>
      <c r="G82" s="498"/>
      <c r="H82" s="498"/>
      <c r="I82" s="260"/>
      <c r="J82" s="260"/>
      <c r="K82" s="260"/>
      <c r="L82" s="485" t="s">
        <v>326</v>
      </c>
      <c r="M82" s="477">
        <f>SUM(M77:M80)-M81</f>
        <v>30114.239999999998</v>
      </c>
      <c r="N82" s="253"/>
    </row>
    <row r="83" spans="2:16" ht="13.5" customHeight="1" thickBot="1" x14ac:dyDescent="0.45">
      <c r="B83" s="257"/>
      <c r="C83" s="499"/>
      <c r="D83" s="499"/>
      <c r="E83" s="499"/>
      <c r="F83" s="499"/>
      <c r="G83" s="499"/>
      <c r="H83" s="499"/>
      <c r="I83" s="258"/>
      <c r="J83" s="258"/>
      <c r="K83" s="258"/>
      <c r="L83" s="486"/>
      <c r="M83" s="478"/>
      <c r="N83" s="259"/>
      <c r="O83" s="135" t="s">
        <v>245</v>
      </c>
      <c r="P83" s="135" t="s">
        <v>245</v>
      </c>
    </row>
    <row r="84" spans="2:16" ht="13.5" customHeight="1" x14ac:dyDescent="0.4">
      <c r="C84" s="8"/>
      <c r="D84" s="8"/>
      <c r="E84" s="13"/>
      <c r="F84" s="13"/>
      <c r="G84" s="13"/>
      <c r="H84" s="13"/>
      <c r="I84" s="13"/>
      <c r="J84" s="13"/>
      <c r="K84" s="13"/>
      <c r="L84" s="13"/>
      <c r="M84" s="15" t="s">
        <v>245</v>
      </c>
      <c r="N84" s="8"/>
    </row>
    <row r="85" spans="2:16" ht="13.5" customHeight="1" x14ac:dyDescent="0.4">
      <c r="C85" s="8"/>
      <c r="D85" s="8"/>
      <c r="E85" s="13"/>
      <c r="F85" s="13"/>
      <c r="G85" s="13"/>
      <c r="H85" s="13"/>
      <c r="I85" s="13"/>
      <c r="J85" s="13"/>
      <c r="K85" s="13"/>
      <c r="L85" s="13"/>
      <c r="M85" s="15"/>
      <c r="N85" s="8"/>
    </row>
    <row r="86" spans="2:16" ht="13.5" customHeight="1" x14ac:dyDescent="0.4">
      <c r="C86" s="8"/>
      <c r="D86" s="8"/>
      <c r="E86" s="13"/>
      <c r="F86" s="13"/>
      <c r="G86" s="13"/>
      <c r="H86" s="13"/>
      <c r="I86" s="13"/>
      <c r="J86" s="13"/>
      <c r="K86" s="13"/>
      <c r="L86" s="13"/>
      <c r="M86" s="15"/>
      <c r="N86" s="8"/>
    </row>
    <row r="87" spans="2:16" ht="13.5" customHeight="1" x14ac:dyDescent="0.4">
      <c r="C87" s="237" t="s">
        <v>13</v>
      </c>
      <c r="D87" s="235"/>
      <c r="E87" s="235"/>
      <c r="F87" s="235"/>
      <c r="G87" s="237" t="s">
        <v>82</v>
      </c>
      <c r="H87" s="235"/>
      <c r="I87" s="237" t="s">
        <v>289</v>
      </c>
      <c r="J87" s="237"/>
      <c r="K87" s="235"/>
      <c r="L87" s="235"/>
      <c r="M87" s="235" t="s">
        <v>261</v>
      </c>
      <c r="N87" s="8"/>
    </row>
    <row r="88" spans="2:16" ht="13.5" customHeight="1" x14ac:dyDescent="0.4"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</row>
    <row r="89" spans="2:16" ht="20.149999999999999" customHeight="1" x14ac:dyDescent="0.4">
      <c r="C89" s="234" t="s">
        <v>290</v>
      </c>
      <c r="D89" s="235"/>
      <c r="E89" s="235"/>
      <c r="F89" s="235"/>
      <c r="G89" s="234" t="s">
        <v>14</v>
      </c>
      <c r="H89" s="235"/>
      <c r="I89" s="234" t="s">
        <v>17</v>
      </c>
      <c r="J89" s="234"/>
      <c r="K89" s="235"/>
      <c r="L89" s="235"/>
      <c r="M89" s="234" t="s">
        <v>8</v>
      </c>
      <c r="N89" s="8"/>
    </row>
    <row r="90" spans="2:16" ht="13.5" customHeight="1" x14ac:dyDescent="0.4">
      <c r="C90" s="19" t="s">
        <v>317</v>
      </c>
      <c r="D90" s="8"/>
      <c r="E90" s="8"/>
      <c r="F90" s="8"/>
      <c r="G90" s="19" t="s">
        <v>15</v>
      </c>
      <c r="H90" s="8"/>
      <c r="I90" s="19" t="s">
        <v>292</v>
      </c>
      <c r="J90" s="19"/>
      <c r="K90" s="8"/>
      <c r="L90" s="8"/>
      <c r="M90" s="19" t="s">
        <v>262</v>
      </c>
      <c r="N90" s="8"/>
    </row>
    <row r="91" spans="2:16" ht="13.5" customHeight="1" x14ac:dyDescent="0.4"/>
    <row r="92" spans="2:16" ht="13.5" customHeight="1" x14ac:dyDescent="0.4"/>
    <row r="93" spans="2:16" ht="13.5" customHeight="1" x14ac:dyDescent="0.4"/>
    <row r="94" spans="2:16" ht="13.5" customHeight="1" x14ac:dyDescent="0.4"/>
    <row r="95" spans="2:16" ht="13.5" customHeight="1" x14ac:dyDescent="0.4"/>
    <row r="96" spans="2:16" ht="13.5" customHeight="1" x14ac:dyDescent="0.4"/>
  </sheetData>
  <mergeCells count="21">
    <mergeCell ref="E72:G72"/>
    <mergeCell ref="C4:N4"/>
    <mergeCell ref="C5:M5"/>
    <mergeCell ref="C6:M6"/>
    <mergeCell ref="C7:M7"/>
    <mergeCell ref="C8:M8"/>
    <mergeCell ref="C14:E14"/>
    <mergeCell ref="C16:E16"/>
    <mergeCell ref="E42:G42"/>
    <mergeCell ref="E43:G43"/>
    <mergeCell ref="G49:I49"/>
    <mergeCell ref="E71:G71"/>
    <mergeCell ref="C82:H83"/>
    <mergeCell ref="L82:L83"/>
    <mergeCell ref="M82:M83"/>
    <mergeCell ref="C77:H78"/>
    <mergeCell ref="L77:L78"/>
    <mergeCell ref="M77:M78"/>
    <mergeCell ref="C79:H79"/>
    <mergeCell ref="C80:H80"/>
    <mergeCell ref="C81:H81"/>
  </mergeCells>
  <pageMargins left="0.19685039370078741" right="0.31496062992125984" top="0" bottom="0" header="0.31496062992125984" footer="0.31496062992125984"/>
  <pageSetup paperSize="9" scale="65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D6AC7B-EAA3-4645-863E-FD0DE18724A6}">
  <dimension ref="B2:P71"/>
  <sheetViews>
    <sheetView topLeftCell="A10" workbookViewId="0">
      <selection sqref="A1:XFD1048576"/>
    </sheetView>
  </sheetViews>
  <sheetFormatPr defaultRowHeight="14.6" x14ac:dyDescent="0.4"/>
  <cols>
    <col min="1" max="1" width="2.3046875" customWidth="1"/>
    <col min="2" max="2" width="13.3046875" customWidth="1"/>
    <col min="3" max="3" width="4.84375" customWidth="1"/>
    <col min="4" max="4" width="12.3046875" customWidth="1"/>
    <col min="5" max="5" width="1.53515625" customWidth="1"/>
    <col min="6" max="6" width="19.84375" customWidth="1"/>
    <col min="7" max="7" width="22.3046875" customWidth="1"/>
    <col min="8" max="8" width="23.3046875" hidden="1" customWidth="1"/>
    <col min="9" max="9" width="13.69140625" customWidth="1"/>
    <col min="10" max="10" width="12.07421875" customWidth="1"/>
    <col min="11" max="12" width="12.3046875" customWidth="1"/>
    <col min="13" max="13" width="11.53515625" customWidth="1"/>
    <col min="14" max="14" width="12.4609375" customWidth="1"/>
    <col min="15" max="15" width="10.69140625" customWidth="1"/>
    <col min="16" max="16" width="12" customWidth="1"/>
  </cols>
  <sheetData>
    <row r="2" spans="2:12" x14ac:dyDescent="0.4">
      <c r="B2" s="246" t="s">
        <v>329</v>
      </c>
    </row>
    <row r="3" spans="2:12" x14ac:dyDescent="0.4">
      <c r="B3" s="246"/>
    </row>
    <row r="4" spans="2:12" x14ac:dyDescent="0.4">
      <c r="B4" s="246"/>
    </row>
    <row r="5" spans="2:12" x14ac:dyDescent="0.4">
      <c r="B5" s="246"/>
    </row>
    <row r="6" spans="2:12" x14ac:dyDescent="0.4">
      <c r="B6" s="246"/>
    </row>
    <row r="7" spans="2:12" ht="14.15" customHeight="1" x14ac:dyDescent="0.4">
      <c r="B7" s="468" t="s">
        <v>0</v>
      </c>
      <c r="C7" s="468"/>
      <c r="D7" s="468"/>
      <c r="E7" s="468"/>
      <c r="F7" s="468"/>
      <c r="G7" s="468"/>
      <c r="H7" s="468"/>
      <c r="I7" s="468"/>
      <c r="J7" s="468"/>
      <c r="K7" s="468"/>
      <c r="L7" s="468"/>
    </row>
    <row r="8" spans="2:12" ht="14.15" customHeight="1" x14ac:dyDescent="0.4">
      <c r="B8" s="19"/>
      <c r="C8" s="19"/>
      <c r="D8" s="19"/>
      <c r="E8" s="19"/>
      <c r="F8" s="19"/>
      <c r="G8" s="19" t="s">
        <v>18</v>
      </c>
      <c r="H8" s="19"/>
      <c r="I8" s="19"/>
      <c r="J8" s="19"/>
      <c r="K8" s="19"/>
      <c r="L8" s="1"/>
    </row>
    <row r="9" spans="2:12" ht="14.15" customHeight="1" x14ac:dyDescent="0.4">
      <c r="B9" s="8"/>
      <c r="C9" s="8"/>
      <c r="D9" s="8"/>
      <c r="E9" s="8"/>
      <c r="F9" s="473" t="s">
        <v>847</v>
      </c>
      <c r="G9" s="473"/>
      <c r="H9" s="473"/>
      <c r="I9" s="473"/>
      <c r="J9" s="473"/>
      <c r="K9" s="8"/>
    </row>
    <row r="10" spans="2:12" ht="14.15" customHeight="1" thickBot="1" x14ac:dyDescent="0.45">
      <c r="B10" s="8"/>
      <c r="C10" s="8"/>
      <c r="D10" s="8"/>
      <c r="E10" s="8"/>
      <c r="F10" s="8"/>
      <c r="G10" s="8"/>
      <c r="H10" s="8"/>
      <c r="I10" s="8"/>
      <c r="J10" s="8"/>
      <c r="K10" s="8"/>
    </row>
    <row r="11" spans="2:12" ht="21.75" customHeight="1" x14ac:dyDescent="0.4">
      <c r="B11" s="308"/>
      <c r="C11" s="309"/>
      <c r="D11" s="310"/>
      <c r="E11" s="309"/>
      <c r="F11" s="311"/>
      <c r="G11" s="500" t="s">
        <v>304</v>
      </c>
      <c r="H11" s="500" t="s">
        <v>299</v>
      </c>
      <c r="I11" s="500" t="s">
        <v>293</v>
      </c>
      <c r="J11" s="502" t="s">
        <v>301</v>
      </c>
      <c r="K11" s="502"/>
      <c r="L11" s="500" t="s">
        <v>296</v>
      </c>
    </row>
    <row r="12" spans="2:12" ht="30" customHeight="1" thickBot="1" x14ac:dyDescent="0.45">
      <c r="B12" s="312" t="s">
        <v>5</v>
      </c>
      <c r="C12" s="313"/>
      <c r="D12" s="314" t="s">
        <v>309</v>
      </c>
      <c r="E12" s="313"/>
      <c r="F12" s="315" t="s">
        <v>1</v>
      </c>
      <c r="G12" s="501"/>
      <c r="H12" s="501"/>
      <c r="I12" s="501"/>
      <c r="J12" s="316" t="s">
        <v>302</v>
      </c>
      <c r="K12" s="317" t="s">
        <v>303</v>
      </c>
      <c r="L12" s="501"/>
    </row>
    <row r="13" spans="2:12" ht="16.2" customHeight="1" x14ac:dyDescent="0.4">
      <c r="B13" s="137" t="s">
        <v>52</v>
      </c>
      <c r="C13" s="19"/>
      <c r="D13" s="155"/>
      <c r="E13" s="19"/>
      <c r="F13" s="170"/>
      <c r="G13" s="110"/>
      <c r="H13" s="110"/>
      <c r="I13" s="157"/>
      <c r="J13" s="178"/>
      <c r="K13" s="183"/>
      <c r="L13" s="186"/>
    </row>
    <row r="14" spans="2:12" ht="16.2" customHeight="1" x14ac:dyDescent="0.4">
      <c r="B14" s="138" t="s">
        <v>140</v>
      </c>
      <c r="C14" s="139" t="s">
        <v>245</v>
      </c>
      <c r="D14" s="140">
        <v>2968</v>
      </c>
      <c r="E14" s="141"/>
      <c r="F14" s="171" t="s">
        <v>839</v>
      </c>
      <c r="G14" s="158">
        <v>150</v>
      </c>
      <c r="H14" s="158"/>
      <c r="I14" s="140"/>
      <c r="J14" s="114"/>
      <c r="K14" s="184" t="s">
        <v>245</v>
      </c>
      <c r="L14" s="163"/>
    </row>
    <row r="15" spans="2:12" ht="16.2" customHeight="1" x14ac:dyDescent="0.4">
      <c r="B15" s="138" t="s">
        <v>140</v>
      </c>
      <c r="C15" s="139"/>
      <c r="D15" s="140">
        <f>1+D14</f>
        <v>2969</v>
      </c>
      <c r="E15" s="141"/>
      <c r="F15" s="171" t="s">
        <v>478</v>
      </c>
      <c r="G15" s="158">
        <v>100</v>
      </c>
      <c r="H15" s="158"/>
      <c r="I15" s="140"/>
      <c r="J15" s="114"/>
      <c r="K15" s="184"/>
      <c r="L15" s="163"/>
    </row>
    <row r="16" spans="2:12" ht="16.2" customHeight="1" x14ac:dyDescent="0.4">
      <c r="B16" s="138" t="s">
        <v>140</v>
      </c>
      <c r="C16" s="139"/>
      <c r="D16" s="140">
        <f t="shared" ref="D16" si="0">1+D15</f>
        <v>2970</v>
      </c>
      <c r="E16" s="141"/>
      <c r="F16" s="171" t="s">
        <v>848</v>
      </c>
      <c r="G16" s="158">
        <v>100</v>
      </c>
      <c r="H16" s="158"/>
      <c r="I16" s="140"/>
      <c r="J16" s="114"/>
      <c r="K16" s="184"/>
      <c r="L16" s="163"/>
    </row>
    <row r="17" spans="2:13" ht="16.2" customHeight="1" x14ac:dyDescent="0.4">
      <c r="B17" s="138" t="s">
        <v>140</v>
      </c>
      <c r="C17" s="139"/>
      <c r="D17" s="140">
        <f>1+D15</f>
        <v>2970</v>
      </c>
      <c r="E17" s="141"/>
      <c r="F17" s="171" t="s">
        <v>843</v>
      </c>
      <c r="G17" s="158">
        <v>100</v>
      </c>
      <c r="H17" s="158"/>
      <c r="I17" s="140"/>
      <c r="J17" s="114"/>
      <c r="K17" s="184"/>
      <c r="L17" s="163"/>
    </row>
    <row r="18" spans="2:13" ht="16.2" customHeight="1" x14ac:dyDescent="0.4">
      <c r="B18" s="138" t="s">
        <v>140</v>
      </c>
      <c r="C18" s="139"/>
      <c r="D18" s="140" t="s">
        <v>245</v>
      </c>
      <c r="E18" s="141"/>
      <c r="F18" s="439" t="s">
        <v>386</v>
      </c>
      <c r="G18" s="158">
        <v>250</v>
      </c>
      <c r="H18" s="158"/>
      <c r="I18" s="140"/>
      <c r="J18" s="114"/>
      <c r="K18" s="184"/>
      <c r="L18" s="163"/>
    </row>
    <row r="19" spans="2:13" ht="18" customHeight="1" x14ac:dyDescent="0.4">
      <c r="B19" s="154" t="s">
        <v>307</v>
      </c>
      <c r="D19" s="111"/>
      <c r="F19" s="109"/>
      <c r="G19" s="161">
        <f>SUM(G14:G18)</f>
        <v>700</v>
      </c>
      <c r="H19" s="161"/>
      <c r="I19" s="162">
        <f>G19-J19</f>
        <v>0</v>
      </c>
      <c r="J19" s="114">
        <v>700</v>
      </c>
      <c r="K19" s="185">
        <v>300</v>
      </c>
      <c r="L19" s="198">
        <f>J19+K19</f>
        <v>1000</v>
      </c>
      <c r="M19" t="s">
        <v>245</v>
      </c>
    </row>
    <row r="20" spans="2:13" ht="16.2" customHeight="1" x14ac:dyDescent="0.4">
      <c r="B20" s="138">
        <v>20</v>
      </c>
      <c r="C20" s="141"/>
      <c r="D20" s="140">
        <v>2972</v>
      </c>
      <c r="E20" s="141"/>
      <c r="F20" s="171" t="s">
        <v>232</v>
      </c>
      <c r="G20" s="158">
        <v>100</v>
      </c>
      <c r="H20" s="159"/>
      <c r="I20" s="140"/>
      <c r="J20" s="114"/>
      <c r="K20" s="185"/>
      <c r="L20" s="167" t="s">
        <v>245</v>
      </c>
    </row>
    <row r="21" spans="2:13" ht="16.2" customHeight="1" x14ac:dyDescent="0.4">
      <c r="B21" s="138">
        <v>20</v>
      </c>
      <c r="C21" s="141"/>
      <c r="D21" s="140">
        <f>1+D20</f>
        <v>2973</v>
      </c>
      <c r="E21" s="141"/>
      <c r="F21" s="172" t="s">
        <v>74</v>
      </c>
      <c r="G21" s="275">
        <v>100</v>
      </c>
      <c r="H21" s="159"/>
      <c r="I21" s="140"/>
      <c r="J21" s="114"/>
      <c r="K21" s="185"/>
      <c r="L21" s="167"/>
      <c r="M21" s="272"/>
    </row>
    <row r="22" spans="2:13" ht="16.2" customHeight="1" x14ac:dyDescent="0.4">
      <c r="B22" s="138">
        <v>20</v>
      </c>
      <c r="C22" s="141"/>
      <c r="D22" s="140">
        <f>1+D21</f>
        <v>2974</v>
      </c>
      <c r="E22" s="141"/>
      <c r="F22" s="172" t="s">
        <v>839</v>
      </c>
      <c r="G22" s="158">
        <v>100</v>
      </c>
      <c r="H22" s="159"/>
      <c r="I22" s="140"/>
      <c r="J22" s="114"/>
      <c r="K22" s="185"/>
      <c r="L22" s="167"/>
    </row>
    <row r="23" spans="2:13" ht="16.2" customHeight="1" x14ac:dyDescent="0.4">
      <c r="B23" s="138">
        <v>20</v>
      </c>
      <c r="C23" s="141"/>
      <c r="D23" s="140">
        <f>1+D22</f>
        <v>2975</v>
      </c>
      <c r="E23" s="141"/>
      <c r="F23" s="172" t="s">
        <v>41</v>
      </c>
      <c r="G23" s="158">
        <v>100</v>
      </c>
      <c r="H23" s="159"/>
      <c r="I23" s="140"/>
      <c r="J23" s="114"/>
      <c r="K23" s="185"/>
      <c r="L23" s="167"/>
    </row>
    <row r="24" spans="2:13" ht="16.2" customHeight="1" x14ac:dyDescent="0.4">
      <c r="B24" s="138">
        <v>20</v>
      </c>
      <c r="C24" s="141"/>
      <c r="D24" s="140" t="s">
        <v>245</v>
      </c>
      <c r="E24" s="141"/>
      <c r="F24" s="439" t="s">
        <v>386</v>
      </c>
      <c r="G24" s="158">
        <v>600</v>
      </c>
      <c r="H24" s="159"/>
      <c r="I24" s="140"/>
      <c r="J24" s="114"/>
      <c r="K24" s="185"/>
      <c r="L24" s="167"/>
    </row>
    <row r="25" spans="2:13" ht="16.2" hidden="1" customHeight="1" x14ac:dyDescent="0.4">
      <c r="B25" s="138"/>
      <c r="C25" s="141"/>
      <c r="D25" s="140"/>
      <c r="E25" s="141"/>
      <c r="F25" s="172"/>
      <c r="G25" s="158">
        <v>0</v>
      </c>
      <c r="H25" s="159"/>
      <c r="I25" s="140"/>
      <c r="J25" s="114"/>
      <c r="K25" s="185"/>
      <c r="L25" s="167"/>
    </row>
    <row r="26" spans="2:13" ht="16.2" hidden="1" customHeight="1" x14ac:dyDescent="0.4">
      <c r="B26" s="138"/>
      <c r="C26" s="141"/>
      <c r="D26" s="140"/>
      <c r="E26" s="141"/>
      <c r="F26" s="172"/>
      <c r="G26" s="158">
        <v>0</v>
      </c>
      <c r="H26" s="159"/>
      <c r="I26" s="140"/>
      <c r="J26" s="114"/>
      <c r="K26" s="185"/>
      <c r="L26" s="167"/>
    </row>
    <row r="27" spans="2:13" ht="16.2" hidden="1" customHeight="1" x14ac:dyDescent="0.4">
      <c r="B27" s="138"/>
      <c r="C27" s="141"/>
      <c r="D27" s="140"/>
      <c r="E27" s="141"/>
      <c r="F27" s="172"/>
      <c r="G27" s="158">
        <v>0</v>
      </c>
      <c r="H27" s="159"/>
      <c r="I27" s="140"/>
      <c r="J27" s="114"/>
      <c r="K27" s="185"/>
      <c r="L27" s="167"/>
    </row>
    <row r="28" spans="2:13" ht="16.2" customHeight="1" x14ac:dyDescent="0.4">
      <c r="B28" s="154" t="s">
        <v>307</v>
      </c>
      <c r="C28" s="141"/>
      <c r="D28" s="140"/>
      <c r="E28" s="141"/>
      <c r="F28" s="172"/>
      <c r="G28" s="289">
        <f>SUM(G20:G27)</f>
        <v>1000</v>
      </c>
      <c r="H28" s="159"/>
      <c r="I28" s="162">
        <f>G28-J28</f>
        <v>0</v>
      </c>
      <c r="J28" s="114">
        <v>1000</v>
      </c>
      <c r="K28" s="185">
        <v>0</v>
      </c>
      <c r="L28" s="198">
        <f>J28+K28</f>
        <v>1000</v>
      </c>
    </row>
    <row r="29" spans="2:13" ht="16.2" customHeight="1" x14ac:dyDescent="0.4">
      <c r="B29" s="138">
        <v>27</v>
      </c>
      <c r="C29" s="141"/>
      <c r="D29" s="140">
        <v>2976</v>
      </c>
      <c r="E29" s="141"/>
      <c r="F29" s="172" t="s">
        <v>41</v>
      </c>
      <c r="G29" s="275">
        <v>100</v>
      </c>
      <c r="H29" s="159"/>
      <c r="I29" s="140"/>
      <c r="J29" s="114"/>
      <c r="K29" s="185"/>
      <c r="L29" s="198"/>
      <c r="M29" s="272"/>
    </row>
    <row r="30" spans="2:13" ht="16.2" customHeight="1" x14ac:dyDescent="0.4">
      <c r="B30" s="138">
        <v>27</v>
      </c>
      <c r="C30" s="141"/>
      <c r="D30" s="140">
        <f t="shared" ref="D30:D34" si="1">1+D29</f>
        <v>2977</v>
      </c>
      <c r="E30" s="141"/>
      <c r="F30" s="172" t="s">
        <v>839</v>
      </c>
      <c r="G30" s="275">
        <v>100</v>
      </c>
      <c r="H30" s="159"/>
      <c r="I30" s="140"/>
      <c r="J30" s="114"/>
      <c r="K30" s="185"/>
      <c r="L30" s="198"/>
      <c r="M30" s="272"/>
    </row>
    <row r="31" spans="2:13" ht="16.2" customHeight="1" x14ac:dyDescent="0.4">
      <c r="B31" s="138">
        <v>27</v>
      </c>
      <c r="C31" s="141"/>
      <c r="D31" s="140">
        <f t="shared" si="1"/>
        <v>2978</v>
      </c>
      <c r="E31" s="141"/>
      <c r="F31" s="172" t="s">
        <v>294</v>
      </c>
      <c r="G31" s="275">
        <v>100</v>
      </c>
      <c r="H31" s="159"/>
      <c r="I31" s="140"/>
      <c r="J31" s="114"/>
      <c r="K31" s="185"/>
      <c r="L31" s="198"/>
    </row>
    <row r="32" spans="2:13" ht="16.2" customHeight="1" x14ac:dyDescent="0.4">
      <c r="B32" s="138">
        <v>27</v>
      </c>
      <c r="C32" s="141"/>
      <c r="D32" s="140">
        <f t="shared" si="1"/>
        <v>2979</v>
      </c>
      <c r="E32" s="141"/>
      <c r="F32" s="172" t="s">
        <v>849</v>
      </c>
      <c r="G32" s="275">
        <v>100</v>
      </c>
      <c r="H32" s="159"/>
      <c r="I32" s="140"/>
      <c r="J32" s="114"/>
      <c r="K32" s="185"/>
      <c r="L32" s="198"/>
    </row>
    <row r="33" spans="2:16" ht="16.2" customHeight="1" x14ac:dyDescent="0.4">
      <c r="B33" s="138">
        <v>27</v>
      </c>
      <c r="C33" s="141"/>
      <c r="D33" s="140">
        <f t="shared" si="1"/>
        <v>2980</v>
      </c>
      <c r="E33" s="141"/>
      <c r="F33" s="172" t="s">
        <v>843</v>
      </c>
      <c r="G33" s="275">
        <v>200</v>
      </c>
      <c r="H33" s="159"/>
      <c r="I33" s="140"/>
      <c r="J33" s="114"/>
      <c r="K33" s="185"/>
      <c r="L33" s="198"/>
      <c r="M33" s="272"/>
      <c r="P33" s="216"/>
    </row>
    <row r="34" spans="2:16" ht="16.2" customHeight="1" x14ac:dyDescent="0.4">
      <c r="B34" s="138">
        <v>27</v>
      </c>
      <c r="C34" s="395"/>
      <c r="D34" s="140">
        <f t="shared" si="1"/>
        <v>2981</v>
      </c>
      <c r="E34" s="395"/>
      <c r="F34" s="396" t="s">
        <v>749</v>
      </c>
      <c r="G34" s="407">
        <v>50</v>
      </c>
      <c r="H34" s="399"/>
      <c r="I34" s="177"/>
      <c r="J34" s="114"/>
      <c r="K34" s="185"/>
      <c r="L34" s="198"/>
      <c r="M34" s="272"/>
      <c r="P34" s="216"/>
    </row>
    <row r="35" spans="2:16" ht="16.2" customHeight="1" thickBot="1" x14ac:dyDescent="0.45">
      <c r="B35" s="345" t="s">
        <v>307</v>
      </c>
      <c r="C35" s="395"/>
      <c r="D35" s="177"/>
      <c r="E35" s="395"/>
      <c r="F35" s="396"/>
      <c r="G35" s="400">
        <f>SUM(G29:G34)</f>
        <v>650</v>
      </c>
      <c r="H35" s="399"/>
      <c r="I35" s="162">
        <f>G35-J35</f>
        <v>0</v>
      </c>
      <c r="J35" s="114">
        <v>650</v>
      </c>
      <c r="K35" s="185">
        <v>350</v>
      </c>
      <c r="L35" s="198">
        <f>J35+K35</f>
        <v>1000</v>
      </c>
      <c r="M35" s="272"/>
    </row>
    <row r="36" spans="2:16" ht="16.2" hidden="1" customHeight="1" x14ac:dyDescent="0.4">
      <c r="B36" s="175">
        <v>23</v>
      </c>
      <c r="C36" s="395"/>
      <c r="D36" s="177">
        <v>2957</v>
      </c>
      <c r="E36" s="395"/>
      <c r="F36" s="396" t="s">
        <v>839</v>
      </c>
      <c r="G36" s="397"/>
      <c r="H36" s="399"/>
      <c r="I36" s="177"/>
      <c r="J36" s="114"/>
      <c r="K36" s="185"/>
      <c r="L36" s="198"/>
    </row>
    <row r="37" spans="2:16" ht="16.2" hidden="1" customHeight="1" x14ac:dyDescent="0.4">
      <c r="B37" s="175">
        <v>23</v>
      </c>
      <c r="C37" s="395"/>
      <c r="D37" s="177">
        <f>1+D36</f>
        <v>2958</v>
      </c>
      <c r="E37" s="395"/>
      <c r="F37" s="396" t="s">
        <v>20</v>
      </c>
      <c r="G37" s="397"/>
      <c r="H37" s="399"/>
      <c r="I37" s="177"/>
      <c r="J37" s="114"/>
      <c r="K37" s="185"/>
      <c r="L37" s="198"/>
    </row>
    <row r="38" spans="2:16" ht="16.2" hidden="1" customHeight="1" x14ac:dyDescent="0.4">
      <c r="B38" s="175">
        <v>23</v>
      </c>
      <c r="C38" s="395"/>
      <c r="D38" s="177">
        <f t="shared" ref="D38:D41" si="2">1+D37</f>
        <v>2959</v>
      </c>
      <c r="E38" s="395"/>
      <c r="F38" s="396" t="s">
        <v>41</v>
      </c>
      <c r="G38" s="397"/>
      <c r="H38" s="399"/>
      <c r="I38" s="177"/>
      <c r="J38" s="114"/>
      <c r="K38" s="185"/>
      <c r="L38" s="198"/>
    </row>
    <row r="39" spans="2:16" ht="16.2" hidden="1" customHeight="1" x14ac:dyDescent="0.4">
      <c r="B39" s="175">
        <v>23</v>
      </c>
      <c r="C39" s="395"/>
      <c r="D39" s="177">
        <f t="shared" si="2"/>
        <v>2960</v>
      </c>
      <c r="E39" s="395"/>
      <c r="F39" s="396" t="s">
        <v>844</v>
      </c>
      <c r="G39" s="397"/>
      <c r="H39" s="399"/>
      <c r="I39" s="177"/>
      <c r="J39" s="114"/>
      <c r="K39" s="185"/>
      <c r="L39" s="198"/>
    </row>
    <row r="40" spans="2:16" ht="16.2" hidden="1" customHeight="1" x14ac:dyDescent="0.4">
      <c r="B40" s="175">
        <v>23</v>
      </c>
      <c r="C40" s="395"/>
      <c r="D40" s="177">
        <f t="shared" si="2"/>
        <v>2961</v>
      </c>
      <c r="E40" s="395"/>
      <c r="F40" s="396" t="s">
        <v>74</v>
      </c>
      <c r="G40" s="397"/>
      <c r="H40" s="399"/>
      <c r="I40" s="177"/>
      <c r="J40" s="114"/>
      <c r="K40" s="185"/>
      <c r="L40" s="198"/>
    </row>
    <row r="41" spans="2:16" ht="16.2" hidden="1" customHeight="1" x14ac:dyDescent="0.4">
      <c r="B41" s="175">
        <v>23</v>
      </c>
      <c r="C41" s="395"/>
      <c r="D41" s="177">
        <f t="shared" si="2"/>
        <v>2962</v>
      </c>
      <c r="E41" s="395"/>
      <c r="F41" s="396" t="s">
        <v>294</v>
      </c>
      <c r="G41" s="397"/>
      <c r="H41" s="399"/>
      <c r="I41" s="177"/>
      <c r="J41" s="114"/>
      <c r="K41" s="185"/>
      <c r="L41" s="198"/>
    </row>
    <row r="42" spans="2:16" ht="16.2" hidden="1" customHeight="1" x14ac:dyDescent="0.4">
      <c r="B42" s="345" t="s">
        <v>307</v>
      </c>
      <c r="C42" s="395"/>
      <c r="D42" s="177"/>
      <c r="E42" s="395"/>
      <c r="F42" s="396"/>
      <c r="G42" s="400">
        <f>SUM(G36:G41)</f>
        <v>0</v>
      </c>
      <c r="H42" s="399"/>
      <c r="I42" s="162">
        <f>G42-J42</f>
        <v>0</v>
      </c>
      <c r="J42" s="114">
        <v>0</v>
      </c>
      <c r="K42" s="185">
        <v>0</v>
      </c>
      <c r="L42" s="198">
        <f t="shared" ref="L42:L48" si="3">J42+K42</f>
        <v>0</v>
      </c>
    </row>
    <row r="43" spans="2:16" ht="16.2" hidden="1" customHeight="1" x14ac:dyDescent="0.4">
      <c r="B43" s="175">
        <v>30</v>
      </c>
      <c r="C43" s="395"/>
      <c r="D43" s="177">
        <v>2963</v>
      </c>
      <c r="E43" s="395"/>
      <c r="F43" s="396" t="s">
        <v>845</v>
      </c>
      <c r="G43" s="397"/>
      <c r="H43" s="399"/>
      <c r="I43" s="177"/>
      <c r="J43" s="114"/>
      <c r="K43" s="185"/>
      <c r="L43" s="198">
        <f t="shared" si="3"/>
        <v>0</v>
      </c>
    </row>
    <row r="44" spans="2:16" ht="16.2" hidden="1" customHeight="1" x14ac:dyDescent="0.4">
      <c r="B44" s="175">
        <v>30</v>
      </c>
      <c r="C44" s="395"/>
      <c r="D44" s="177">
        <f>1+D43</f>
        <v>2964</v>
      </c>
      <c r="E44" s="395"/>
      <c r="F44" s="396" t="s">
        <v>41</v>
      </c>
      <c r="G44" s="397"/>
      <c r="H44" s="399"/>
      <c r="I44" s="177"/>
      <c r="J44" s="114"/>
      <c r="K44" s="185"/>
      <c r="L44" s="198">
        <f t="shared" si="3"/>
        <v>0</v>
      </c>
    </row>
    <row r="45" spans="2:16" ht="16.2" hidden="1" customHeight="1" x14ac:dyDescent="0.4">
      <c r="B45" s="175">
        <v>30</v>
      </c>
      <c r="C45" s="395"/>
      <c r="D45" s="177">
        <f t="shared" ref="D45:D47" si="4">1+D44</f>
        <v>2965</v>
      </c>
      <c r="E45" s="395"/>
      <c r="F45" s="396" t="s">
        <v>294</v>
      </c>
      <c r="G45" s="397"/>
      <c r="H45" s="399"/>
      <c r="I45" s="177"/>
      <c r="J45" s="114"/>
      <c r="K45" s="185"/>
      <c r="L45" s="198"/>
    </row>
    <row r="46" spans="2:16" ht="16.2" hidden="1" customHeight="1" x14ac:dyDescent="0.4">
      <c r="B46" s="175">
        <v>30</v>
      </c>
      <c r="C46" s="395"/>
      <c r="D46" s="177">
        <f t="shared" si="4"/>
        <v>2966</v>
      </c>
      <c r="E46" s="395"/>
      <c r="F46" s="396" t="s">
        <v>846</v>
      </c>
      <c r="G46" s="397"/>
      <c r="H46" s="399"/>
      <c r="I46" s="177"/>
      <c r="J46" s="114"/>
      <c r="K46" s="185"/>
      <c r="L46" s="198"/>
    </row>
    <row r="47" spans="2:16" ht="16.2" hidden="1" customHeight="1" x14ac:dyDescent="0.4">
      <c r="B47" s="175">
        <v>30</v>
      </c>
      <c r="C47" s="395"/>
      <c r="D47" s="177">
        <f t="shared" si="4"/>
        <v>2967</v>
      </c>
      <c r="E47" s="395"/>
      <c r="F47" s="396" t="s">
        <v>843</v>
      </c>
      <c r="G47" s="397"/>
      <c r="H47" s="399"/>
      <c r="I47" s="177"/>
      <c r="J47" s="114"/>
      <c r="K47" s="185"/>
      <c r="L47" s="198"/>
    </row>
    <row r="48" spans="2:16" ht="16.2" hidden="1" customHeight="1" thickBot="1" x14ac:dyDescent="0.45">
      <c r="B48" s="345" t="s">
        <v>307</v>
      </c>
      <c r="C48" s="395"/>
      <c r="D48" s="177"/>
      <c r="E48" s="395"/>
      <c r="F48" s="396"/>
      <c r="G48" s="419">
        <f>SUM(G43:G47)</f>
        <v>0</v>
      </c>
      <c r="H48" s="399"/>
      <c r="I48" s="177"/>
      <c r="J48" s="114">
        <v>0</v>
      </c>
      <c r="K48" s="185">
        <v>0</v>
      </c>
      <c r="L48" s="198">
        <f t="shared" si="3"/>
        <v>0</v>
      </c>
    </row>
    <row r="49" spans="2:16" ht="22.2" customHeight="1" thickBot="1" x14ac:dyDescent="0.45">
      <c r="B49" s="318" t="s">
        <v>297</v>
      </c>
      <c r="C49" s="319"/>
      <c r="D49" s="320"/>
      <c r="E49" s="321"/>
      <c r="F49" s="319"/>
      <c r="G49" s="322">
        <f>G48+G42+G35+G28+G19</f>
        <v>2350</v>
      </c>
      <c r="H49" s="322"/>
      <c r="I49" s="322">
        <f>I48+I42+I35+I28+I19</f>
        <v>0</v>
      </c>
      <c r="J49" s="322">
        <f>J48+J42+J35+J28+J19</f>
        <v>2350</v>
      </c>
      <c r="K49" s="322">
        <f>K48+K42+K35+K28+K19</f>
        <v>650</v>
      </c>
      <c r="L49" s="322">
        <f>L48+L42+L35+L28+L19</f>
        <v>3000</v>
      </c>
      <c r="P49" s="408"/>
    </row>
    <row r="50" spans="2:16" ht="16.2" customHeight="1" x14ac:dyDescent="0.4">
      <c r="B50" s="9"/>
      <c r="C50" s="8"/>
      <c r="D50" s="19"/>
      <c r="E50" s="19"/>
      <c r="F50" s="8"/>
      <c r="G50" s="10"/>
      <c r="H50" s="10"/>
      <c r="I50" s="14" t="s">
        <v>245</v>
      </c>
      <c r="J50" s="14" t="s">
        <v>245</v>
      </c>
      <c r="K50" s="12"/>
      <c r="L50" s="15" t="s">
        <v>245</v>
      </c>
      <c r="P50" s="409"/>
    </row>
    <row r="51" spans="2:16" ht="16.2" customHeight="1" x14ac:dyDescent="0.4">
      <c r="B51" s="9"/>
      <c r="C51" s="8"/>
      <c r="D51" s="19"/>
      <c r="E51" s="19"/>
      <c r="F51" s="8"/>
      <c r="G51" s="10" t="s">
        <v>245</v>
      </c>
      <c r="H51" s="10"/>
      <c r="I51" s="14" t="s">
        <v>245</v>
      </c>
      <c r="J51" s="14"/>
      <c r="K51" s="12"/>
      <c r="L51" s="15"/>
      <c r="P51" s="135"/>
    </row>
    <row r="52" spans="2:16" ht="14.15" customHeight="1" x14ac:dyDescent="0.4">
      <c r="B52" s="9"/>
      <c r="C52" s="8"/>
      <c r="D52" s="19"/>
      <c r="E52" s="19"/>
      <c r="F52" s="8"/>
      <c r="G52" s="10"/>
      <c r="H52" s="10"/>
      <c r="I52" s="14" t="s">
        <v>245</v>
      </c>
      <c r="J52" s="14" t="s">
        <v>245</v>
      </c>
      <c r="K52" s="12"/>
      <c r="L52" s="15"/>
      <c r="M52" s="135"/>
    </row>
    <row r="53" spans="2:16" ht="14.15" customHeight="1" x14ac:dyDescent="0.4">
      <c r="B53" s="8"/>
      <c r="C53" s="8"/>
      <c r="D53" s="8" t="s">
        <v>245</v>
      </c>
      <c r="E53" s="8"/>
      <c r="F53" s="8"/>
      <c r="G53" s="8"/>
      <c r="H53" s="8"/>
      <c r="I53" s="8"/>
      <c r="J53" s="8"/>
      <c r="K53" s="8"/>
    </row>
    <row r="54" spans="2:16" ht="14.15" customHeight="1" x14ac:dyDescent="0.4">
      <c r="B54" s="8"/>
      <c r="C54" s="8"/>
      <c r="D54" s="19" t="s">
        <v>245</v>
      </c>
      <c r="E54" s="8"/>
      <c r="F54" s="19" t="s">
        <v>245</v>
      </c>
      <c r="G54" s="8"/>
      <c r="H54" s="8"/>
      <c r="I54" s="8"/>
      <c r="J54" s="8"/>
      <c r="K54" s="8" t="s">
        <v>712</v>
      </c>
    </row>
    <row r="55" spans="2:16" ht="14.15" customHeight="1" x14ac:dyDescent="0.4">
      <c r="B55" s="8"/>
      <c r="C55" s="8"/>
      <c r="D55" s="8"/>
      <c r="E55" s="8"/>
      <c r="F55" s="19"/>
      <c r="G55" s="8"/>
      <c r="H55" s="8"/>
      <c r="I55" s="8"/>
      <c r="J55" s="8"/>
      <c r="K55" s="8"/>
    </row>
    <row r="56" spans="2:16" ht="14.15" customHeight="1" x14ac:dyDescent="0.4">
      <c r="B56" s="8"/>
      <c r="C56" s="8"/>
      <c r="D56" s="8"/>
      <c r="E56" s="8"/>
      <c r="F56" s="19"/>
      <c r="G56" s="8"/>
      <c r="H56" s="8"/>
      <c r="I56" s="8"/>
      <c r="J56" s="8"/>
      <c r="K56" s="8"/>
    </row>
    <row r="57" spans="2:16" ht="14.15" customHeight="1" x14ac:dyDescent="0.4">
      <c r="B57" s="8"/>
      <c r="C57" s="8"/>
      <c r="D57" s="8"/>
      <c r="E57" s="8"/>
      <c r="F57" s="19"/>
      <c r="G57" s="8"/>
      <c r="H57" s="8"/>
      <c r="I57" s="8"/>
      <c r="J57" s="8"/>
      <c r="K57" s="8"/>
    </row>
    <row r="58" spans="2:16" ht="14.15" customHeight="1" x14ac:dyDescent="0.4">
      <c r="B58" s="267" t="s">
        <v>850</v>
      </c>
      <c r="C58" s="267"/>
      <c r="D58" s="267"/>
      <c r="E58" s="267"/>
      <c r="F58" s="19"/>
      <c r="G58" s="8"/>
      <c r="H58" s="8"/>
      <c r="I58" s="8"/>
      <c r="J58" s="8"/>
      <c r="K58" s="8"/>
    </row>
    <row r="59" spans="2:16" ht="14.15" customHeight="1" thickBot="1" x14ac:dyDescent="0.45">
      <c r="B59" s="19" t="s">
        <v>245</v>
      </c>
      <c r="C59" s="8"/>
      <c r="D59" s="8"/>
      <c r="E59" s="8"/>
      <c r="F59" s="19"/>
      <c r="G59" s="19"/>
      <c r="H59" s="19"/>
      <c r="I59" s="19"/>
      <c r="J59" s="19"/>
      <c r="K59" s="19"/>
    </row>
    <row r="60" spans="2:16" ht="18" customHeight="1" thickBot="1" x14ac:dyDescent="0.45">
      <c r="B60" s="469" t="s">
        <v>311</v>
      </c>
      <c r="C60" s="470"/>
      <c r="D60" s="470"/>
      <c r="E60" s="471"/>
      <c r="F60" s="209" t="s">
        <v>123</v>
      </c>
      <c r="G60" s="19"/>
      <c r="H60" s="19"/>
      <c r="I60" s="19"/>
      <c r="J60" s="19"/>
      <c r="K60" s="19"/>
    </row>
    <row r="61" spans="2:16" ht="15" customHeight="1" thickBot="1" x14ac:dyDescent="0.45">
      <c r="B61" s="329" t="s">
        <v>52</v>
      </c>
      <c r="C61" s="330" t="s">
        <v>140</v>
      </c>
      <c r="D61" s="325" t="s">
        <v>245</v>
      </c>
      <c r="E61" s="325"/>
      <c r="F61" s="401">
        <v>1000</v>
      </c>
      <c r="G61" s="41"/>
      <c r="H61" s="41"/>
      <c r="I61" s="8"/>
      <c r="J61" s="201"/>
      <c r="K61" s="8"/>
    </row>
    <row r="62" spans="2:16" ht="15" customHeight="1" thickBot="1" x14ac:dyDescent="0.45">
      <c r="B62" s="329" t="s">
        <v>52</v>
      </c>
      <c r="C62" s="330" t="s">
        <v>36</v>
      </c>
      <c r="D62" s="325"/>
      <c r="E62" s="325"/>
      <c r="F62" s="401">
        <v>1000</v>
      </c>
      <c r="G62" s="41"/>
      <c r="H62" s="41"/>
      <c r="I62" s="8"/>
      <c r="J62" s="201"/>
      <c r="K62" s="8"/>
    </row>
    <row r="63" spans="2:16" ht="15" customHeight="1" x14ac:dyDescent="0.4">
      <c r="B63" s="329" t="s">
        <v>52</v>
      </c>
      <c r="C63" s="444">
        <v>27</v>
      </c>
      <c r="D63" s="277"/>
      <c r="E63" s="277"/>
      <c r="F63" s="445">
        <v>1000</v>
      </c>
      <c r="G63" s="41"/>
      <c r="H63" s="41"/>
      <c r="I63" s="8"/>
      <c r="J63" s="201"/>
      <c r="K63" s="8"/>
    </row>
    <row r="64" spans="2:16" ht="15" hidden="1" customHeight="1" thickBot="1" x14ac:dyDescent="0.45">
      <c r="B64" s="440"/>
      <c r="C64" s="441"/>
      <c r="D64" s="442"/>
      <c r="E64" s="442"/>
      <c r="F64" s="443"/>
      <c r="G64" s="41"/>
      <c r="H64" s="41"/>
      <c r="I64" s="8"/>
      <c r="J64" s="201"/>
      <c r="K64" s="8"/>
    </row>
    <row r="65" spans="2:11" ht="15" hidden="1" customHeight="1" thickBot="1" x14ac:dyDescent="0.45">
      <c r="B65" s="331"/>
      <c r="C65" s="331"/>
      <c r="D65" s="326"/>
      <c r="E65" s="326"/>
      <c r="F65" s="402"/>
      <c r="G65" s="41"/>
      <c r="H65" s="41"/>
      <c r="I65" s="8"/>
      <c r="J65" s="201"/>
      <c r="K65" s="8"/>
    </row>
    <row r="66" spans="2:11" ht="8.15" customHeight="1" x14ac:dyDescent="0.4">
      <c r="B66" s="210"/>
      <c r="C66" s="211"/>
      <c r="D66" s="212" t="s">
        <v>245</v>
      </c>
      <c r="E66" s="212"/>
      <c r="F66" s="213"/>
      <c r="G66" s="10"/>
      <c r="H66" s="10"/>
      <c r="I66" s="21"/>
      <c r="J66" s="201"/>
      <c r="K66" s="10"/>
    </row>
    <row r="67" spans="2:11" ht="14.15" customHeight="1" thickBot="1" x14ac:dyDescent="0.45">
      <c r="B67" s="466" t="s">
        <v>296</v>
      </c>
      <c r="C67" s="467"/>
      <c r="D67" s="467"/>
      <c r="E67" s="214"/>
      <c r="F67" s="215">
        <f>SUM(F61:F65)</f>
        <v>3000</v>
      </c>
      <c r="G67" s="10"/>
      <c r="H67" s="10"/>
      <c r="I67" s="21"/>
      <c r="J67" s="203"/>
      <c r="K67" s="10"/>
    </row>
    <row r="68" spans="2:11" ht="15.45" x14ac:dyDescent="0.4">
      <c r="B68" s="26"/>
      <c r="C68" s="8"/>
      <c r="D68" s="8"/>
      <c r="E68" s="8"/>
      <c r="F68" s="8"/>
      <c r="G68" s="10"/>
      <c r="H68" s="10"/>
      <c r="I68" s="27"/>
      <c r="J68" s="27"/>
      <c r="K68" s="10"/>
    </row>
    <row r="69" spans="2:11" ht="15.45" x14ac:dyDescent="0.4">
      <c r="B69" s="25"/>
      <c r="C69" s="8"/>
      <c r="D69" s="8"/>
      <c r="E69" s="8"/>
      <c r="F69" s="8"/>
      <c r="G69" s="41"/>
      <c r="H69" s="41"/>
      <c r="I69" s="21"/>
      <c r="J69" s="27"/>
      <c r="K69" s="10"/>
    </row>
    <row r="70" spans="2:11" ht="15.45" x14ac:dyDescent="0.4">
      <c r="B70" s="26"/>
      <c r="C70" s="8"/>
      <c r="D70" s="6"/>
      <c r="E70" s="6"/>
      <c r="F70" s="8"/>
      <c r="G70" s="10"/>
      <c r="H70" s="10"/>
      <c r="I70" s="10"/>
      <c r="J70" s="8"/>
      <c r="K70" s="10"/>
    </row>
    <row r="71" spans="2:11" ht="15.45" x14ac:dyDescent="0.4">
      <c r="F71" s="8"/>
      <c r="I71" s="27"/>
    </row>
  </sheetData>
  <mergeCells count="9">
    <mergeCell ref="B60:E60"/>
    <mergeCell ref="B67:D67"/>
    <mergeCell ref="B7:L7"/>
    <mergeCell ref="F9:J9"/>
    <mergeCell ref="G11:G12"/>
    <mergeCell ref="H11:H12"/>
    <mergeCell ref="I11:I12"/>
    <mergeCell ref="J11:K11"/>
    <mergeCell ref="L11:L12"/>
  </mergeCells>
  <pageMargins left="0" right="0" top="0.15748031496062992" bottom="0" header="0.31496062992125984" footer="0.31496062992125984"/>
  <pageSetup paperSize="9" scale="80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DB6EC1-69AF-4C64-92D3-6DFCE61D63C8}">
  <dimension ref="B1:S96"/>
  <sheetViews>
    <sheetView topLeftCell="A38" workbookViewId="0">
      <selection activeCell="C73" sqref="C73"/>
    </sheetView>
  </sheetViews>
  <sheetFormatPr defaultRowHeight="14.6" x14ac:dyDescent="0.4"/>
  <cols>
    <col min="1" max="1" width="3.3046875" customWidth="1"/>
    <col min="2" max="2" width="1.3046875" customWidth="1"/>
    <col min="3" max="3" width="16.69140625" customWidth="1"/>
    <col min="4" max="4" width="0.53515625" customWidth="1"/>
    <col min="5" max="5" width="12.3046875" customWidth="1"/>
    <col min="6" max="6" width="1.4609375" customWidth="1"/>
    <col min="7" max="7" width="12" customWidth="1"/>
    <col min="8" max="8" width="19.07421875" customWidth="1"/>
    <col min="9" max="9" width="16.53515625" customWidth="1"/>
    <col min="10" max="10" width="28.4609375" customWidth="1"/>
    <col min="11" max="11" width="16.07421875" customWidth="1"/>
    <col min="12" max="12" width="3" customWidth="1"/>
    <col min="13" max="13" width="18.3046875" customWidth="1"/>
    <col min="14" max="14" width="1" customWidth="1"/>
    <col min="15" max="15" width="12.84375" customWidth="1"/>
    <col min="16" max="16" width="10.07421875" bestFit="1" customWidth="1"/>
    <col min="17" max="17" width="11.4609375" customWidth="1"/>
  </cols>
  <sheetData>
    <row r="1" spans="3:15" ht="6" customHeight="1" x14ac:dyDescent="0.4"/>
    <row r="2" spans="3:15" ht="6" customHeight="1" x14ac:dyDescent="0.4"/>
    <row r="3" spans="3:15" ht="6" customHeight="1" x14ac:dyDescent="0.4"/>
    <row r="4" spans="3:15" ht="20.149999999999999" customHeight="1" x14ac:dyDescent="0.4">
      <c r="C4" s="476" t="s">
        <v>0</v>
      </c>
      <c r="D4" s="476"/>
      <c r="E4" s="476"/>
      <c r="F4" s="476"/>
      <c r="G4" s="476"/>
      <c r="H4" s="476"/>
      <c r="I4" s="476"/>
      <c r="J4" s="476"/>
      <c r="K4" s="476"/>
      <c r="L4" s="476"/>
      <c r="M4" s="476"/>
      <c r="N4" s="476"/>
    </row>
    <row r="5" spans="3:15" ht="20.149999999999999" customHeight="1" x14ac:dyDescent="0.45">
      <c r="C5" s="492" t="s">
        <v>333</v>
      </c>
      <c r="D5" s="492"/>
      <c r="E5" s="492"/>
      <c r="F5" s="492"/>
      <c r="G5" s="492"/>
      <c r="H5" s="492"/>
      <c r="I5" s="492"/>
      <c r="J5" s="492"/>
      <c r="K5" s="492"/>
      <c r="L5" s="492"/>
      <c r="M5" s="492"/>
      <c r="N5" s="243"/>
    </row>
    <row r="6" spans="3:15" ht="20.149999999999999" customHeight="1" x14ac:dyDescent="0.45">
      <c r="C6" s="492" t="s">
        <v>245</v>
      </c>
      <c r="D6" s="492"/>
      <c r="E6" s="492"/>
      <c r="F6" s="492"/>
      <c r="G6" s="492"/>
      <c r="H6" s="492"/>
      <c r="I6" s="492"/>
      <c r="J6" s="492"/>
      <c r="K6" s="492"/>
      <c r="L6" s="492"/>
      <c r="M6" s="492"/>
      <c r="N6" s="243"/>
    </row>
    <row r="7" spans="3:15" ht="20.149999999999999" customHeight="1" x14ac:dyDescent="0.45">
      <c r="C7" s="476" t="s">
        <v>318</v>
      </c>
      <c r="D7" s="476"/>
      <c r="E7" s="476"/>
      <c r="F7" s="476"/>
      <c r="G7" s="476"/>
      <c r="H7" s="476"/>
      <c r="I7" s="476"/>
      <c r="J7" s="476"/>
      <c r="K7" s="476"/>
      <c r="L7" s="476"/>
      <c r="M7" s="476"/>
      <c r="N7" s="243"/>
    </row>
    <row r="8" spans="3:15" ht="20.149999999999999" customHeight="1" x14ac:dyDescent="0.45">
      <c r="C8" s="476" t="s">
        <v>876</v>
      </c>
      <c r="D8" s="476"/>
      <c r="E8" s="476"/>
      <c r="F8" s="476"/>
      <c r="G8" s="476"/>
      <c r="H8" s="476"/>
      <c r="I8" s="476"/>
      <c r="J8" s="476"/>
      <c r="K8" s="476"/>
      <c r="L8" s="476"/>
      <c r="M8" s="476"/>
      <c r="N8" s="221"/>
    </row>
    <row r="9" spans="3:15" ht="15" customHeight="1" x14ac:dyDescent="0.4"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</row>
    <row r="10" spans="3:15" ht="15" customHeight="1" x14ac:dyDescent="0.45">
      <c r="C10" s="220" t="s">
        <v>877</v>
      </c>
      <c r="D10" s="221"/>
      <c r="E10" s="221"/>
      <c r="F10" s="221"/>
      <c r="G10" s="221"/>
      <c r="H10" s="221"/>
      <c r="I10" s="221"/>
      <c r="J10" s="221"/>
      <c r="K10" s="221"/>
      <c r="L10" s="247" t="s">
        <v>326</v>
      </c>
      <c r="M10" s="219">
        <v>9726.1300000000083</v>
      </c>
      <c r="N10" s="8"/>
      <c r="O10" s="135" t="s">
        <v>245</v>
      </c>
    </row>
    <row r="11" spans="3:15" ht="15" customHeight="1" x14ac:dyDescent="0.45">
      <c r="C11" s="221"/>
      <c r="D11" s="221"/>
      <c r="E11" s="221"/>
      <c r="F11" s="221"/>
      <c r="G11" s="221"/>
      <c r="H11" s="221"/>
      <c r="I11" s="221"/>
      <c r="J11" s="221"/>
      <c r="K11" s="221"/>
      <c r="L11" s="8"/>
      <c r="M11" s="8"/>
      <c r="N11" s="8"/>
    </row>
    <row r="12" spans="3:15" ht="15" customHeight="1" x14ac:dyDescent="0.45">
      <c r="C12" s="220" t="s">
        <v>878</v>
      </c>
      <c r="D12" s="220"/>
      <c r="E12" s="221"/>
      <c r="F12" s="221"/>
      <c r="G12" s="221"/>
      <c r="H12" s="221"/>
      <c r="I12" s="221"/>
      <c r="J12" s="221"/>
      <c r="K12" s="221"/>
      <c r="L12" s="8"/>
      <c r="M12" s="8"/>
      <c r="N12" s="8"/>
    </row>
    <row r="13" spans="3:15" ht="15" customHeight="1" x14ac:dyDescent="0.45">
      <c r="C13" s="221"/>
      <c r="D13" s="221"/>
      <c r="E13" s="221"/>
      <c r="F13" s="221"/>
      <c r="G13" s="221"/>
      <c r="H13" s="221"/>
      <c r="I13" s="226" t="s">
        <v>245</v>
      </c>
      <c r="J13" s="226"/>
      <c r="K13" s="226" t="s">
        <v>245</v>
      </c>
      <c r="L13" s="19"/>
      <c r="M13" s="8"/>
      <c r="N13" s="8"/>
    </row>
    <row r="14" spans="3:15" ht="15" customHeight="1" x14ac:dyDescent="0.45">
      <c r="C14" s="476" t="s">
        <v>305</v>
      </c>
      <c r="D14" s="476"/>
      <c r="E14" s="476"/>
      <c r="F14" s="221"/>
      <c r="G14" s="221" t="s">
        <v>320</v>
      </c>
      <c r="H14" s="221"/>
      <c r="I14" s="226"/>
      <c r="J14" s="226"/>
      <c r="K14" s="226"/>
      <c r="L14" s="19"/>
      <c r="M14" s="8"/>
      <c r="N14" s="8"/>
    </row>
    <row r="15" spans="3:15" ht="15" customHeight="1" x14ac:dyDescent="0.45">
      <c r="C15" s="238"/>
      <c r="D15" s="238"/>
      <c r="E15" s="238"/>
      <c r="F15" s="221"/>
      <c r="G15" s="221"/>
      <c r="H15" s="221"/>
      <c r="I15" s="226"/>
      <c r="J15" s="226"/>
      <c r="K15" s="226"/>
      <c r="L15" s="19"/>
      <c r="M15" s="8"/>
      <c r="N15" s="8"/>
    </row>
    <row r="16" spans="3:15" ht="15" customHeight="1" x14ac:dyDescent="0.45">
      <c r="C16" s="476" t="s">
        <v>245</v>
      </c>
      <c r="D16" s="476"/>
      <c r="E16" s="476"/>
      <c r="F16" s="221"/>
      <c r="G16" s="221"/>
      <c r="H16" s="239" t="s">
        <v>316</v>
      </c>
      <c r="I16" s="239" t="s">
        <v>2</v>
      </c>
      <c r="J16" s="239" t="s">
        <v>407</v>
      </c>
      <c r="K16" s="239" t="s">
        <v>306</v>
      </c>
      <c r="L16" s="19"/>
      <c r="M16" s="8"/>
      <c r="N16" s="8"/>
    </row>
    <row r="17" spans="3:16" ht="15" customHeight="1" x14ac:dyDescent="0.45">
      <c r="C17" s="221"/>
      <c r="D17" s="221"/>
      <c r="E17" s="226" t="s">
        <v>245</v>
      </c>
      <c r="F17" s="226"/>
      <c r="G17" s="240" t="s">
        <v>245</v>
      </c>
      <c r="H17" s="222" t="s">
        <v>245</v>
      </c>
      <c r="I17" s="241" t="s">
        <v>245</v>
      </c>
      <c r="J17" s="241"/>
      <c r="K17" s="230" t="s">
        <v>245</v>
      </c>
      <c r="L17" s="201"/>
      <c r="M17" s="8"/>
      <c r="N17" s="8"/>
    </row>
    <row r="18" spans="3:16" ht="20.149999999999999" customHeight="1" x14ac:dyDescent="0.45">
      <c r="C18" s="221"/>
      <c r="D18" s="221"/>
      <c r="E18" s="226" t="s">
        <v>57</v>
      </c>
      <c r="F18" s="226"/>
      <c r="G18" s="240" t="s">
        <v>28</v>
      </c>
      <c r="H18" s="222">
        <v>1294</v>
      </c>
      <c r="I18" s="222">
        <v>200</v>
      </c>
      <c r="J18" s="222">
        <v>0</v>
      </c>
      <c r="K18" s="222">
        <f>H18-I18-J18</f>
        <v>1094</v>
      </c>
      <c r="L18" s="216"/>
      <c r="M18" s="8"/>
      <c r="N18" s="8"/>
    </row>
    <row r="19" spans="3:16" ht="20.149999999999999" customHeight="1" x14ac:dyDescent="0.45">
      <c r="C19" s="221"/>
      <c r="D19" s="221"/>
      <c r="E19" s="226" t="s">
        <v>57</v>
      </c>
      <c r="F19" s="226"/>
      <c r="G19" s="240">
        <v>11</v>
      </c>
      <c r="H19" s="222">
        <f>1841-71-100</f>
        <v>1670</v>
      </c>
      <c r="I19" s="222">
        <v>200</v>
      </c>
      <c r="J19" s="222">
        <v>100</v>
      </c>
      <c r="K19" s="222">
        <f t="shared" ref="K19:K27" si="0">H19-I19-J19</f>
        <v>1370</v>
      </c>
      <c r="L19" s="216"/>
      <c r="M19" s="8"/>
      <c r="N19" s="8"/>
      <c r="O19">
        <f>3522-3693</f>
        <v>-171</v>
      </c>
      <c r="P19" t="s">
        <v>882</v>
      </c>
    </row>
    <row r="20" spans="3:16" ht="20.149999999999999" customHeight="1" x14ac:dyDescent="0.75">
      <c r="C20" s="221"/>
      <c r="D20" s="221"/>
      <c r="E20" s="226" t="s">
        <v>57</v>
      </c>
      <c r="F20" s="226"/>
      <c r="G20" s="240">
        <v>25</v>
      </c>
      <c r="H20" s="266">
        <v>1558</v>
      </c>
      <c r="I20" s="266">
        <v>500</v>
      </c>
      <c r="J20" s="266">
        <v>0</v>
      </c>
      <c r="K20" s="266">
        <f t="shared" si="0"/>
        <v>1058</v>
      </c>
      <c r="L20" s="216"/>
      <c r="M20" s="8"/>
      <c r="N20" s="8"/>
    </row>
    <row r="21" spans="3:16" ht="20.149999999999999" hidden="1" customHeight="1" x14ac:dyDescent="0.45">
      <c r="C21" s="221"/>
      <c r="D21" s="221"/>
      <c r="E21" s="226"/>
      <c r="F21" s="226"/>
      <c r="G21" s="240"/>
      <c r="H21" s="222"/>
      <c r="I21" s="222"/>
      <c r="J21" s="222"/>
      <c r="K21" s="222"/>
      <c r="L21" s="216"/>
      <c r="M21" s="8"/>
      <c r="N21" s="8"/>
    </row>
    <row r="22" spans="3:16" ht="20.149999999999999" hidden="1" customHeight="1" x14ac:dyDescent="0.45">
      <c r="C22" s="221"/>
      <c r="D22" s="221"/>
      <c r="E22" s="226"/>
      <c r="F22" s="226"/>
      <c r="G22" s="240"/>
      <c r="H22" s="222"/>
      <c r="I22" s="222"/>
      <c r="J22" s="222"/>
      <c r="K22" s="222"/>
      <c r="L22" s="216"/>
      <c r="M22" s="8"/>
      <c r="N22" s="8"/>
    </row>
    <row r="23" spans="3:16" ht="20.149999999999999" hidden="1" customHeight="1" x14ac:dyDescent="0.45">
      <c r="C23" s="221"/>
      <c r="D23" s="221"/>
      <c r="E23" s="226"/>
      <c r="F23" s="226"/>
      <c r="G23" s="240"/>
      <c r="H23" s="222"/>
      <c r="I23" s="222"/>
      <c r="J23" s="222"/>
      <c r="K23" s="222"/>
      <c r="L23" s="216"/>
      <c r="M23" s="8"/>
      <c r="N23" s="8"/>
    </row>
    <row r="24" spans="3:16" ht="20.149999999999999" hidden="1" customHeight="1" x14ac:dyDescent="0.45">
      <c r="C24" s="221"/>
      <c r="D24" s="221"/>
      <c r="E24" s="226"/>
      <c r="F24" s="226"/>
      <c r="G24" s="240"/>
      <c r="H24" s="222"/>
      <c r="I24" s="222"/>
      <c r="J24" s="222"/>
      <c r="K24" s="222"/>
      <c r="L24" s="216"/>
      <c r="M24" s="8"/>
      <c r="N24" s="8"/>
    </row>
    <row r="25" spans="3:16" ht="20.149999999999999" hidden="1" customHeight="1" x14ac:dyDescent="0.45">
      <c r="C25" s="221"/>
      <c r="D25" s="221"/>
      <c r="E25" s="226"/>
      <c r="F25" s="226"/>
      <c r="G25" s="240"/>
      <c r="H25" s="222"/>
      <c r="I25" s="222"/>
      <c r="J25" s="222"/>
      <c r="K25" s="222"/>
      <c r="L25" s="216"/>
      <c r="M25" s="8"/>
      <c r="N25" s="8"/>
    </row>
    <row r="26" spans="3:16" ht="20.149999999999999" hidden="1" customHeight="1" x14ac:dyDescent="0.45">
      <c r="C26" s="221"/>
      <c r="D26" s="221"/>
      <c r="E26" s="226" t="s">
        <v>245</v>
      </c>
      <c r="F26" s="226"/>
      <c r="G26" s="240" t="s">
        <v>245</v>
      </c>
      <c r="H26" s="222">
        <v>0</v>
      </c>
      <c r="I26" s="222">
        <v>0</v>
      </c>
      <c r="J26" s="222">
        <v>0</v>
      </c>
      <c r="K26" s="222">
        <f t="shared" ref="K26" si="1">H26-I26-J26</f>
        <v>0</v>
      </c>
      <c r="L26" s="216"/>
      <c r="M26" s="8"/>
      <c r="N26" s="8"/>
    </row>
    <row r="27" spans="3:16" ht="20.149999999999999" hidden="1" customHeight="1" x14ac:dyDescent="0.75">
      <c r="C27" s="221"/>
      <c r="D27" s="221"/>
      <c r="E27" s="226" t="s">
        <v>245</v>
      </c>
      <c r="F27" s="226"/>
      <c r="G27" s="240" t="s">
        <v>245</v>
      </c>
      <c r="H27" s="265">
        <v>0</v>
      </c>
      <c r="I27" s="266">
        <v>0</v>
      </c>
      <c r="J27" s="266">
        <v>0</v>
      </c>
      <c r="K27" s="266">
        <f t="shared" si="0"/>
        <v>0</v>
      </c>
      <c r="L27" s="216"/>
      <c r="M27" s="8"/>
      <c r="N27" s="8"/>
      <c r="O27" s="272"/>
    </row>
    <row r="28" spans="3:16" ht="20.149999999999999" hidden="1" customHeight="1" x14ac:dyDescent="0.45">
      <c r="C28" s="221"/>
      <c r="D28" s="221"/>
      <c r="E28" s="336" t="s">
        <v>67</v>
      </c>
      <c r="F28" s="226"/>
      <c r="G28" s="240">
        <v>18</v>
      </c>
      <c r="H28" s="337">
        <v>0</v>
      </c>
      <c r="I28" s="222">
        <v>0</v>
      </c>
      <c r="J28" s="222">
        <v>0</v>
      </c>
      <c r="K28" s="222">
        <f>H28-I28</f>
        <v>0</v>
      </c>
      <c r="L28" s="216"/>
      <c r="M28" s="8"/>
      <c r="N28" s="8"/>
      <c r="O28" s="272"/>
    </row>
    <row r="29" spans="3:16" ht="20.149999999999999" hidden="1" customHeight="1" x14ac:dyDescent="0.45">
      <c r="C29" s="221"/>
      <c r="D29" s="221"/>
      <c r="E29" s="336" t="s">
        <v>67</v>
      </c>
      <c r="F29" s="226"/>
      <c r="G29" s="240">
        <v>19</v>
      </c>
      <c r="H29" s="337">
        <v>0</v>
      </c>
      <c r="I29" s="222">
        <v>0</v>
      </c>
      <c r="J29" s="222">
        <v>0</v>
      </c>
      <c r="K29" s="222">
        <f>H29-I29</f>
        <v>0</v>
      </c>
      <c r="L29" s="216"/>
      <c r="M29" s="8"/>
      <c r="N29" s="8"/>
      <c r="O29" s="272"/>
    </row>
    <row r="30" spans="3:16" ht="20.149999999999999" hidden="1" customHeight="1" x14ac:dyDescent="0.45">
      <c r="C30" s="221"/>
      <c r="D30" s="221"/>
      <c r="E30" s="226" t="s">
        <v>67</v>
      </c>
      <c r="F30" s="226"/>
      <c r="G30" s="240">
        <v>20</v>
      </c>
      <c r="H30" s="223">
        <v>0</v>
      </c>
      <c r="I30" s="222">
        <v>0</v>
      </c>
      <c r="J30" s="222">
        <v>0</v>
      </c>
      <c r="K30" s="222">
        <f>H30-I30</f>
        <v>0</v>
      </c>
      <c r="L30" s="216"/>
      <c r="M30" s="8"/>
      <c r="N30" s="8"/>
    </row>
    <row r="31" spans="3:16" ht="20.149999999999999" hidden="1" customHeight="1" x14ac:dyDescent="0.75">
      <c r="C31" s="221"/>
      <c r="D31" s="221"/>
      <c r="E31" s="226" t="s">
        <v>67</v>
      </c>
      <c r="F31" s="226"/>
      <c r="G31" s="240">
        <v>27</v>
      </c>
      <c r="H31" s="265">
        <v>0</v>
      </c>
      <c r="I31" s="266">
        <v>0</v>
      </c>
      <c r="J31" s="266">
        <v>0</v>
      </c>
      <c r="K31" s="266">
        <f>H31-I31</f>
        <v>0</v>
      </c>
      <c r="L31" s="216"/>
      <c r="M31" s="44" t="s">
        <v>245</v>
      </c>
      <c r="N31" s="8"/>
      <c r="O31" t="s">
        <v>355</v>
      </c>
    </row>
    <row r="32" spans="3:16" ht="15" customHeight="1" x14ac:dyDescent="0.45">
      <c r="C32" s="221"/>
      <c r="D32" s="221"/>
      <c r="E32" s="226"/>
      <c r="F32" s="226"/>
      <c r="G32" s="240"/>
      <c r="H32" s="223"/>
      <c r="I32" s="222"/>
      <c r="J32" s="222"/>
      <c r="K32" s="222"/>
      <c r="L32" s="216"/>
      <c r="M32" s="44"/>
      <c r="N32" s="8"/>
    </row>
    <row r="33" spans="3:16" ht="15" customHeight="1" x14ac:dyDescent="0.45">
      <c r="C33" s="221"/>
      <c r="D33" s="221"/>
      <c r="E33" s="238" t="s">
        <v>65</v>
      </c>
      <c r="F33" s="221"/>
      <c r="G33" s="226"/>
      <c r="H33" s="288">
        <f>SUM(H18:H31)</f>
        <v>4522</v>
      </c>
      <c r="I33" s="296">
        <f>SUM(I18:I31)</f>
        <v>900</v>
      </c>
      <c r="J33" s="288">
        <f>SUM(J18:J31)</f>
        <v>100</v>
      </c>
      <c r="K33" s="248">
        <f>SUM(K18:K31)</f>
        <v>3522</v>
      </c>
      <c r="L33" s="218"/>
      <c r="M33" s="44" t="s">
        <v>245</v>
      </c>
      <c r="N33" s="8"/>
      <c r="O33" s="7">
        <v>3522</v>
      </c>
      <c r="P33" s="135">
        <f>K33-O33</f>
        <v>0</v>
      </c>
    </row>
    <row r="34" spans="3:16" ht="15" customHeight="1" x14ac:dyDescent="0.45">
      <c r="C34" s="221"/>
      <c r="D34" s="221"/>
      <c r="E34" s="221"/>
      <c r="F34" s="221"/>
      <c r="G34" s="226"/>
      <c r="H34" s="224"/>
      <c r="I34" s="222"/>
      <c r="J34" s="222"/>
      <c r="K34" s="222"/>
      <c r="L34" s="216"/>
      <c r="M34" s="44"/>
      <c r="N34" s="8"/>
    </row>
    <row r="35" spans="3:16" ht="15.75" customHeight="1" x14ac:dyDescent="0.45">
      <c r="C35" s="220" t="s">
        <v>245</v>
      </c>
      <c r="D35" s="221"/>
      <c r="E35" s="221"/>
      <c r="F35" s="221"/>
      <c r="G35" s="226"/>
      <c r="H35" s="224"/>
      <c r="I35" s="222"/>
      <c r="J35" s="222"/>
      <c r="K35" s="248" t="s">
        <v>245</v>
      </c>
      <c r="L35" s="216"/>
      <c r="M35" s="44"/>
      <c r="N35" s="8"/>
      <c r="P35" s="135"/>
    </row>
    <row r="36" spans="3:16" ht="15" customHeight="1" x14ac:dyDescent="0.45">
      <c r="C36" s="221"/>
      <c r="D36" s="221"/>
      <c r="E36" s="221"/>
      <c r="F36" s="221"/>
      <c r="G36" s="226"/>
      <c r="H36" s="224"/>
      <c r="I36" s="222"/>
      <c r="J36" s="222"/>
      <c r="K36" s="222"/>
      <c r="L36" s="216"/>
      <c r="M36" s="44"/>
      <c r="N36" s="8"/>
    </row>
    <row r="37" spans="3:16" ht="15" customHeight="1" x14ac:dyDescent="0.45">
      <c r="C37" s="220" t="s">
        <v>748</v>
      </c>
      <c r="D37" s="220"/>
      <c r="E37" s="220"/>
      <c r="F37" s="220"/>
      <c r="G37" s="220"/>
      <c r="H37" s="220"/>
      <c r="I37" s="220"/>
      <c r="J37" s="297"/>
      <c r="K37" s="219" t="s">
        <v>245</v>
      </c>
      <c r="L37" s="219"/>
      <c r="M37" s="225" t="s">
        <v>245</v>
      </c>
      <c r="N37" s="8"/>
    </row>
    <row r="38" spans="3:16" ht="15" customHeight="1" x14ac:dyDescent="0.45">
      <c r="C38" s="220"/>
      <c r="D38" s="221"/>
      <c r="E38" s="221"/>
      <c r="F38" s="221"/>
      <c r="G38" s="221"/>
      <c r="H38" s="226"/>
      <c r="I38" s="230"/>
      <c r="J38" s="230"/>
      <c r="K38" s="219"/>
      <c r="L38" s="219"/>
      <c r="M38" s="225"/>
      <c r="N38" s="8"/>
    </row>
    <row r="39" spans="3:16" ht="22.95" customHeight="1" x14ac:dyDescent="0.45">
      <c r="C39" s="220"/>
      <c r="D39" s="221"/>
      <c r="E39" s="220" t="s">
        <v>674</v>
      </c>
      <c r="F39" s="220"/>
      <c r="G39" s="220"/>
      <c r="H39" s="220"/>
      <c r="I39" s="230"/>
      <c r="J39" s="230"/>
      <c r="K39" s="299">
        <f>'May 2025 Sched A'!I54</f>
        <v>0</v>
      </c>
      <c r="L39" s="219"/>
      <c r="M39" s="231" t="s">
        <v>245</v>
      </c>
      <c r="N39" s="8"/>
      <c r="O39" s="304"/>
      <c r="P39" s="135"/>
    </row>
    <row r="40" spans="3:16" ht="15" customHeight="1" x14ac:dyDescent="0.75">
      <c r="C40" s="242"/>
      <c r="D40" s="236"/>
      <c r="E40" s="243"/>
      <c r="F40" s="236"/>
      <c r="G40" s="226"/>
      <c r="H40" s="226"/>
      <c r="I40" s="226"/>
      <c r="J40" s="226"/>
      <c r="K40" s="222"/>
      <c r="L40" s="222"/>
      <c r="M40" s="244"/>
      <c r="N40" s="8"/>
    </row>
    <row r="41" spans="3:16" ht="20.149999999999999" customHeight="1" x14ac:dyDescent="0.85">
      <c r="C41" s="220" t="s">
        <v>854</v>
      </c>
      <c r="D41" s="220"/>
      <c r="E41" s="221"/>
      <c r="F41" s="221"/>
      <c r="G41" s="221"/>
      <c r="H41" s="221"/>
      <c r="I41" s="221"/>
      <c r="J41" s="221"/>
      <c r="K41" s="446">
        <v>0</v>
      </c>
      <c r="L41" s="221"/>
      <c r="M41" s="447">
        <f>SUM(K33:K41)</f>
        <v>3522</v>
      </c>
      <c r="N41" s="8"/>
      <c r="P41" s="135"/>
    </row>
    <row r="42" spans="3:16" ht="18" customHeight="1" x14ac:dyDescent="0.45">
      <c r="C42" s="220"/>
      <c r="D42" s="220"/>
      <c r="E42" s="505" t="s">
        <v>245</v>
      </c>
      <c r="F42" s="505"/>
      <c r="G42" s="505"/>
      <c r="H42" s="221"/>
      <c r="I42" s="221"/>
      <c r="J42" s="221"/>
      <c r="K42" s="355" t="s">
        <v>245</v>
      </c>
      <c r="L42" s="221"/>
      <c r="M42" s="353"/>
      <c r="N42" s="8"/>
      <c r="P42" s="135"/>
    </row>
    <row r="43" spans="3:16" ht="18" customHeight="1" x14ac:dyDescent="0.45">
      <c r="C43" s="220"/>
      <c r="D43" s="220"/>
      <c r="E43" s="505" t="s">
        <v>245</v>
      </c>
      <c r="F43" s="505"/>
      <c r="G43" s="505"/>
      <c r="H43" s="221"/>
      <c r="I43" s="221"/>
      <c r="J43" s="221"/>
      <c r="K43" s="448" t="s">
        <v>245</v>
      </c>
      <c r="L43" s="221"/>
      <c r="M43" s="353" t="s">
        <v>245</v>
      </c>
      <c r="N43" s="8"/>
    </row>
    <row r="44" spans="3:16" ht="20.149999999999999" customHeight="1" x14ac:dyDescent="0.45">
      <c r="C44" s="220" t="s">
        <v>313</v>
      </c>
      <c r="D44" s="220"/>
      <c r="E44" s="221"/>
      <c r="F44" s="221"/>
      <c r="G44" s="221"/>
      <c r="H44" s="221"/>
      <c r="I44" s="221"/>
      <c r="J44" s="221"/>
      <c r="K44" s="221"/>
      <c r="L44" s="247" t="s">
        <v>326</v>
      </c>
      <c r="M44" s="219">
        <f>M10+M41</f>
        <v>13248.130000000008</v>
      </c>
      <c r="N44" s="8"/>
      <c r="O44" t="s">
        <v>245</v>
      </c>
    </row>
    <row r="45" spans="3:16" ht="13.5" customHeight="1" x14ac:dyDescent="0.45">
      <c r="C45" s="220"/>
      <c r="D45" s="220"/>
      <c r="E45" s="221"/>
      <c r="F45" s="221"/>
      <c r="G45" s="221"/>
      <c r="H45" s="221"/>
      <c r="I45" s="221"/>
      <c r="J45" s="221"/>
      <c r="K45" s="221"/>
      <c r="L45" s="221"/>
      <c r="M45" s="221"/>
      <c r="N45" s="8"/>
    </row>
    <row r="46" spans="3:16" ht="13.5" customHeight="1" x14ac:dyDescent="0.45">
      <c r="C46" s="220"/>
      <c r="D46" s="220"/>
      <c r="E46" s="221"/>
      <c r="F46" s="221"/>
      <c r="G46" s="221"/>
      <c r="H46" s="221"/>
      <c r="I46" s="221"/>
      <c r="J46" s="221"/>
      <c r="K46" s="221"/>
      <c r="L46" s="221"/>
      <c r="M46" s="221"/>
      <c r="N46" s="8"/>
    </row>
    <row r="47" spans="3:16" ht="13.5" customHeight="1" x14ac:dyDescent="0.45">
      <c r="C47" s="220" t="s">
        <v>879</v>
      </c>
      <c r="D47" s="220"/>
      <c r="E47" s="221"/>
      <c r="F47" s="221"/>
      <c r="G47" s="221"/>
      <c r="H47" s="221"/>
      <c r="I47" s="221"/>
      <c r="J47" s="221"/>
      <c r="K47" s="221"/>
      <c r="L47" s="221"/>
      <c r="M47" s="221"/>
      <c r="N47" s="8"/>
    </row>
    <row r="48" spans="3:16" ht="15" customHeight="1" x14ac:dyDescent="0.45">
      <c r="C48" s="221" t="s">
        <v>245</v>
      </c>
      <c r="D48" s="221"/>
      <c r="E48" s="221" t="s">
        <v>245</v>
      </c>
      <c r="F48" s="221"/>
      <c r="G48" s="221"/>
      <c r="H48" s="221"/>
      <c r="I48" s="221"/>
      <c r="J48" s="221"/>
      <c r="K48" s="221"/>
      <c r="L48" s="221"/>
      <c r="M48" s="221"/>
      <c r="N48" s="8"/>
    </row>
    <row r="49" spans="3:14" ht="15" customHeight="1" x14ac:dyDescent="0.45">
      <c r="C49" s="239" t="s">
        <v>5</v>
      </c>
      <c r="D49" s="226"/>
      <c r="E49" s="226" t="s">
        <v>257</v>
      </c>
      <c r="F49" s="226"/>
      <c r="G49" s="487" t="s">
        <v>373</v>
      </c>
      <c r="H49" s="487"/>
      <c r="I49" s="487"/>
      <c r="J49" s="236"/>
      <c r="K49" s="236" t="s">
        <v>123</v>
      </c>
      <c r="L49" s="221"/>
      <c r="M49" s="226" t="s">
        <v>245</v>
      </c>
      <c r="N49" s="19"/>
    </row>
    <row r="50" spans="3:14" ht="15" customHeight="1" x14ac:dyDescent="0.45">
      <c r="C50" s="226"/>
      <c r="D50" s="226"/>
      <c r="E50" s="226"/>
      <c r="F50" s="226"/>
      <c r="G50" s="221"/>
      <c r="H50" s="221"/>
      <c r="I50" s="221"/>
      <c r="J50" s="221"/>
      <c r="K50" s="221"/>
      <c r="L50" s="221"/>
      <c r="M50" s="226"/>
      <c r="N50" s="19"/>
    </row>
    <row r="51" spans="3:14" ht="20.149999999999999" customHeight="1" x14ac:dyDescent="0.45">
      <c r="C51" s="292" t="s">
        <v>883</v>
      </c>
      <c r="D51" s="226"/>
      <c r="E51" s="226"/>
      <c r="F51" s="226"/>
      <c r="G51" s="228" t="s">
        <v>884</v>
      </c>
      <c r="H51" s="221"/>
      <c r="I51" s="221"/>
      <c r="J51" s="221"/>
      <c r="K51" s="222">
        <v>3197.45</v>
      </c>
      <c r="L51" s="221"/>
      <c r="M51" s="226"/>
      <c r="N51" s="19"/>
    </row>
    <row r="52" spans="3:14" ht="20.149999999999999" hidden="1" customHeight="1" x14ac:dyDescent="0.45">
      <c r="C52" s="292"/>
      <c r="D52" s="226"/>
      <c r="E52" s="226"/>
      <c r="F52" s="226"/>
      <c r="G52" s="228"/>
      <c r="H52" s="221" t="s">
        <v>796</v>
      </c>
      <c r="I52" s="221"/>
      <c r="J52" s="221"/>
      <c r="K52" s="222"/>
      <c r="L52" s="221"/>
      <c r="M52" s="226"/>
      <c r="N52" s="19"/>
    </row>
    <row r="53" spans="3:14" ht="20.149999999999999" customHeight="1" x14ac:dyDescent="0.45">
      <c r="C53" s="292" t="s">
        <v>885</v>
      </c>
      <c r="D53" s="226"/>
      <c r="E53" s="226"/>
      <c r="F53" s="226"/>
      <c r="G53" s="286" t="s">
        <v>886</v>
      </c>
      <c r="H53" s="287"/>
      <c r="I53" s="287"/>
      <c r="J53" s="287"/>
      <c r="K53" s="222">
        <v>1071.3499999999999</v>
      </c>
      <c r="L53" s="221"/>
      <c r="M53" s="226"/>
      <c r="N53" s="19"/>
    </row>
    <row r="54" spans="3:14" ht="20.149999999999999" hidden="1" customHeight="1" x14ac:dyDescent="0.45">
      <c r="C54" s="292" t="s">
        <v>883</v>
      </c>
      <c r="D54" s="226"/>
      <c r="E54" s="226"/>
      <c r="F54" s="226"/>
      <c r="G54" s="228"/>
      <c r="H54" s="221" t="s">
        <v>798</v>
      </c>
      <c r="I54" s="221"/>
      <c r="J54" s="221"/>
      <c r="K54" s="222"/>
      <c r="L54" s="221"/>
      <c r="M54" s="226"/>
      <c r="N54" s="19"/>
    </row>
    <row r="55" spans="3:14" ht="20.149999999999999" customHeight="1" x14ac:dyDescent="0.45">
      <c r="C55" s="292" t="s">
        <v>887</v>
      </c>
      <c r="D55" s="226"/>
      <c r="E55" s="226"/>
      <c r="F55" s="226"/>
      <c r="G55" s="228" t="s">
        <v>888</v>
      </c>
      <c r="H55" s="221"/>
      <c r="I55" s="221"/>
      <c r="J55" s="221"/>
      <c r="K55" s="222">
        <v>300</v>
      </c>
      <c r="L55" s="221"/>
      <c r="M55" s="226"/>
      <c r="N55" s="19"/>
    </row>
    <row r="56" spans="3:14" ht="20.149999999999999" customHeight="1" x14ac:dyDescent="0.85">
      <c r="C56" s="292" t="s">
        <v>887</v>
      </c>
      <c r="D56" s="226"/>
      <c r="E56" s="226"/>
      <c r="F56" s="226"/>
      <c r="G56" s="506" t="s">
        <v>889</v>
      </c>
      <c r="H56" s="506"/>
      <c r="I56" s="506"/>
      <c r="J56" s="506"/>
      <c r="K56" s="222">
        <v>1500</v>
      </c>
      <c r="L56" s="221"/>
      <c r="M56" s="410">
        <f>SUM(K51:K56)</f>
        <v>6068.7999999999993</v>
      </c>
      <c r="N56" s="19"/>
    </row>
    <row r="57" spans="3:14" ht="20.149999999999999" hidden="1" customHeight="1" x14ac:dyDescent="0.45">
      <c r="C57" s="292"/>
      <c r="D57" s="226"/>
      <c r="E57" s="226"/>
      <c r="F57" s="226"/>
      <c r="G57" s="228"/>
      <c r="H57" s="221"/>
      <c r="I57" s="221"/>
      <c r="J57" s="221"/>
      <c r="K57" s="222">
        <v>0</v>
      </c>
      <c r="L57" s="221"/>
      <c r="M57" s="226"/>
      <c r="N57" s="19"/>
    </row>
    <row r="58" spans="3:14" ht="20.149999999999999" hidden="1" customHeight="1" x14ac:dyDescent="0.45">
      <c r="C58" s="292"/>
      <c r="D58" s="226"/>
      <c r="E58" s="226"/>
      <c r="F58" s="226"/>
      <c r="G58" s="228"/>
      <c r="H58" s="221"/>
      <c r="I58" s="221"/>
      <c r="J58" s="221"/>
      <c r="K58" s="222">
        <v>0</v>
      </c>
      <c r="L58" s="221"/>
      <c r="M58" s="226"/>
      <c r="N58" s="19"/>
    </row>
    <row r="59" spans="3:14" ht="20.149999999999999" hidden="1" customHeight="1" x14ac:dyDescent="0.45">
      <c r="C59" s="292"/>
      <c r="D59" s="226"/>
      <c r="E59" s="226"/>
      <c r="F59" s="226"/>
      <c r="G59" s="228"/>
      <c r="H59" s="221"/>
      <c r="I59" s="221"/>
      <c r="J59" s="221"/>
      <c r="K59" s="222">
        <v>0</v>
      </c>
      <c r="L59" s="221"/>
      <c r="M59" s="226"/>
      <c r="N59" s="19"/>
    </row>
    <row r="60" spans="3:14" ht="20.149999999999999" hidden="1" customHeight="1" x14ac:dyDescent="0.45">
      <c r="C60" s="292"/>
      <c r="D60" s="226"/>
      <c r="E60" s="226"/>
      <c r="F60" s="226"/>
      <c r="G60" s="228"/>
      <c r="H60" s="221"/>
      <c r="I60" s="221"/>
      <c r="J60" s="221"/>
      <c r="K60" s="222">
        <v>0</v>
      </c>
      <c r="L60" s="221"/>
      <c r="M60" s="226"/>
      <c r="N60" s="19"/>
    </row>
    <row r="61" spans="3:14" ht="20.149999999999999" hidden="1" customHeight="1" x14ac:dyDescent="0.45">
      <c r="C61" s="292"/>
      <c r="D61" s="226"/>
      <c r="E61" s="226"/>
      <c r="F61" s="226"/>
      <c r="G61" s="228"/>
      <c r="H61" s="221"/>
      <c r="I61" s="221"/>
      <c r="J61" s="221"/>
      <c r="K61" s="222">
        <v>0</v>
      </c>
      <c r="L61" s="221"/>
      <c r="M61" s="226"/>
      <c r="N61" s="19"/>
    </row>
    <row r="62" spans="3:14" ht="20.149999999999999" hidden="1" customHeight="1" x14ac:dyDescent="0.45">
      <c r="C62" s="292"/>
      <c r="D62" s="226"/>
      <c r="E62" s="226"/>
      <c r="F62" s="226"/>
      <c r="G62" s="228"/>
      <c r="H62" s="221"/>
      <c r="I62" s="221"/>
      <c r="J62" s="221"/>
      <c r="K62" s="222">
        <v>0</v>
      </c>
      <c r="L62" s="221"/>
      <c r="M62" s="226"/>
      <c r="N62" s="19"/>
    </row>
    <row r="63" spans="3:14" ht="20.149999999999999" hidden="1" customHeight="1" x14ac:dyDescent="0.45">
      <c r="C63" s="292"/>
      <c r="D63" s="226"/>
      <c r="E63" s="226"/>
      <c r="F63" s="226"/>
      <c r="G63" s="228"/>
      <c r="H63" s="221"/>
      <c r="I63" s="221"/>
      <c r="J63" s="221"/>
      <c r="K63" s="222">
        <v>0</v>
      </c>
      <c r="L63" s="221"/>
      <c r="M63" s="226"/>
      <c r="N63" s="19"/>
    </row>
    <row r="64" spans="3:14" ht="20.149999999999999" hidden="1" customHeight="1" x14ac:dyDescent="0.45">
      <c r="C64" s="292"/>
      <c r="D64" s="438"/>
      <c r="E64" s="438"/>
      <c r="F64" s="438"/>
      <c r="G64" s="286"/>
      <c r="H64" s="287"/>
      <c r="I64" s="287"/>
      <c r="J64" s="287"/>
      <c r="K64" s="437">
        <v>0</v>
      </c>
      <c r="L64" s="221"/>
      <c r="M64" s="226"/>
      <c r="N64" s="19"/>
    </row>
    <row r="65" spans="2:19" ht="20.149999999999999" hidden="1" customHeight="1" x14ac:dyDescent="0.45">
      <c r="C65" s="292"/>
      <c r="D65" s="226"/>
      <c r="E65" s="226"/>
      <c r="F65" s="226"/>
      <c r="G65" s="228"/>
      <c r="H65" s="449"/>
      <c r="I65" s="449"/>
      <c r="J65" s="449"/>
      <c r="K65" s="222">
        <v>0</v>
      </c>
      <c r="L65" s="221"/>
      <c r="M65" s="226"/>
      <c r="N65" s="19"/>
    </row>
    <row r="66" spans="2:19" ht="20.149999999999999" customHeight="1" x14ac:dyDescent="0.45">
      <c r="C66" s="292"/>
      <c r="D66" s="438"/>
      <c r="E66" s="438"/>
      <c r="F66" s="438"/>
      <c r="G66" s="286"/>
      <c r="H66" s="287"/>
      <c r="I66" s="287"/>
      <c r="J66" s="287"/>
      <c r="K66" s="437" t="s">
        <v>245</v>
      </c>
      <c r="L66" s="221"/>
      <c r="M66" s="450" t="s">
        <v>245</v>
      </c>
      <c r="N66" s="19"/>
    </row>
    <row r="67" spans="2:19" ht="20.149999999999999" customHeight="1" x14ac:dyDescent="0.75">
      <c r="C67" s="292" t="s">
        <v>245</v>
      </c>
      <c r="D67" s="226"/>
      <c r="E67" s="226"/>
      <c r="F67" s="226"/>
      <c r="G67" s="228"/>
      <c r="H67" s="221"/>
      <c r="I67" s="221"/>
      <c r="J67" s="221"/>
      <c r="K67" s="222"/>
      <c r="L67" s="222"/>
      <c r="M67" s="266"/>
      <c r="N67" s="19"/>
    </row>
    <row r="68" spans="2:19" ht="20.149999999999999" customHeight="1" x14ac:dyDescent="0.45">
      <c r="C68" s="220" t="s">
        <v>327</v>
      </c>
      <c r="D68" s="220"/>
      <c r="E68" s="221"/>
      <c r="F68" s="221"/>
      <c r="G68" s="221"/>
      <c r="H68" s="221"/>
      <c r="I68" s="221"/>
      <c r="J68" s="221"/>
      <c r="K68" s="221"/>
      <c r="L68" s="221"/>
      <c r="M68" s="231">
        <f>M44-M56</f>
        <v>7179.330000000009</v>
      </c>
      <c r="N68" s="44"/>
      <c r="O68" t="s">
        <v>245</v>
      </c>
      <c r="P68" s="7" t="s">
        <v>245</v>
      </c>
    </row>
    <row r="69" spans="2:19" ht="13.5" customHeight="1" x14ac:dyDescent="0.45">
      <c r="C69" s="221"/>
      <c r="D69" s="221"/>
      <c r="E69" s="221"/>
      <c r="F69" s="221"/>
      <c r="G69" s="221"/>
      <c r="H69" s="221"/>
      <c r="I69" s="221"/>
      <c r="J69" s="221"/>
      <c r="K69" s="221"/>
      <c r="L69" s="221"/>
      <c r="M69" s="225"/>
      <c r="N69" s="44"/>
    </row>
    <row r="70" spans="2:19" ht="20.149999999999999" customHeight="1" x14ac:dyDescent="0.45">
      <c r="C70" s="220" t="s">
        <v>917</v>
      </c>
      <c r="D70" s="221"/>
      <c r="E70" s="221"/>
      <c r="F70" s="221"/>
      <c r="G70" s="221"/>
      <c r="H70" s="221"/>
      <c r="I70" s="221"/>
      <c r="J70" s="221"/>
      <c r="K70" s="221"/>
      <c r="L70" s="221"/>
      <c r="M70" s="393">
        <v>3028.68</v>
      </c>
      <c r="N70" s="44"/>
    </row>
    <row r="71" spans="2:19" ht="20.149999999999999" hidden="1" customHeight="1" x14ac:dyDescent="0.85">
      <c r="C71" s="220"/>
      <c r="D71" s="221"/>
      <c r="E71" s="505" t="s">
        <v>769</v>
      </c>
      <c r="F71" s="505"/>
      <c r="G71" s="505"/>
      <c r="H71" s="221"/>
      <c r="I71" s="221"/>
      <c r="J71" s="221"/>
      <c r="K71" s="411">
        <v>0</v>
      </c>
      <c r="L71" s="221"/>
      <c r="M71" s="264"/>
      <c r="N71" s="44"/>
    </row>
    <row r="72" spans="2:19" ht="20.149999999999999" hidden="1" customHeight="1" x14ac:dyDescent="0.85">
      <c r="C72" s="220"/>
      <c r="D72" s="221"/>
      <c r="E72" s="505" t="s">
        <v>769</v>
      </c>
      <c r="F72" s="505"/>
      <c r="G72" s="505"/>
      <c r="H72" s="221"/>
      <c r="I72" s="221"/>
      <c r="J72" s="221"/>
      <c r="K72" s="412">
        <v>0</v>
      </c>
      <c r="L72" s="221"/>
      <c r="M72" s="264">
        <f>SUM(K71:K72)</f>
        <v>0</v>
      </c>
      <c r="N72" s="44"/>
      <c r="O72">
        <v>12450</v>
      </c>
      <c r="P72" s="135">
        <f>K72-O72</f>
        <v>-12450</v>
      </c>
    </row>
    <row r="73" spans="2:19" ht="13.5" customHeight="1" x14ac:dyDescent="0.45">
      <c r="C73" s="221"/>
      <c r="D73" s="221"/>
      <c r="E73" s="221"/>
      <c r="F73" s="221"/>
      <c r="G73" s="221"/>
      <c r="H73" s="221"/>
      <c r="I73" s="221"/>
      <c r="J73" s="221"/>
      <c r="K73" s="221"/>
      <c r="L73" s="221"/>
      <c r="M73" s="225"/>
      <c r="N73" s="44"/>
    </row>
    <row r="74" spans="2:19" ht="24.45" customHeight="1" thickBot="1" x14ac:dyDescent="0.5">
      <c r="C74" s="220" t="s">
        <v>880</v>
      </c>
      <c r="D74" s="221"/>
      <c r="E74" s="221"/>
      <c r="F74" s="221"/>
      <c r="G74" s="221"/>
      <c r="H74" s="221"/>
      <c r="I74" s="221"/>
      <c r="J74" s="221"/>
      <c r="K74" s="221"/>
      <c r="L74" s="245" t="s">
        <v>326</v>
      </c>
      <c r="M74" s="232">
        <f>M68-M70</f>
        <v>4150.6500000000087</v>
      </c>
      <c r="N74" s="8"/>
      <c r="O74" s="2">
        <v>4150.6499999999996</v>
      </c>
      <c r="P74" s="451">
        <f>M74-O74</f>
        <v>9.0949470177292824E-12</v>
      </c>
      <c r="Q74" s="451" t="s">
        <v>245</v>
      </c>
      <c r="R74" s="451" t="s">
        <v>712</v>
      </c>
      <c r="S74" s="135"/>
    </row>
    <row r="75" spans="2:19" ht="13.5" customHeight="1" thickTop="1" x14ac:dyDescent="0.45">
      <c r="C75" s="221"/>
      <c r="D75" s="221"/>
      <c r="E75" s="220"/>
      <c r="F75" s="220"/>
      <c r="G75" s="221"/>
      <c r="H75" s="221"/>
      <c r="I75" s="221"/>
      <c r="J75" s="221"/>
      <c r="K75" s="221"/>
      <c r="L75" s="221"/>
      <c r="M75" s="221"/>
      <c r="N75" s="8"/>
      <c r="O75" s="270"/>
      <c r="P75" s="359">
        <v>171</v>
      </c>
      <c r="Q75" s="359" t="s">
        <v>891</v>
      </c>
      <c r="R75" s="359"/>
    </row>
    <row r="76" spans="2:19" ht="13.5" customHeight="1" thickBot="1" x14ac:dyDescent="0.45">
      <c r="C76" s="8"/>
      <c r="D76" s="8"/>
      <c r="E76" s="13"/>
      <c r="F76" s="13"/>
      <c r="G76" s="8"/>
      <c r="H76" s="8"/>
      <c r="I76" s="8"/>
      <c r="J76" s="8"/>
      <c r="K76" s="8"/>
      <c r="L76" s="8"/>
      <c r="M76" s="8"/>
      <c r="N76" s="8"/>
      <c r="P76" s="359">
        <v>100</v>
      </c>
      <c r="Q76" s="359" t="s">
        <v>890</v>
      </c>
      <c r="R76" s="359"/>
    </row>
    <row r="77" spans="2:19" ht="13.5" customHeight="1" x14ac:dyDescent="0.45">
      <c r="B77" s="251"/>
      <c r="C77" s="493" t="s">
        <v>856</v>
      </c>
      <c r="D77" s="493"/>
      <c r="E77" s="493"/>
      <c r="F77" s="493"/>
      <c r="G77" s="493"/>
      <c r="H77" s="493"/>
      <c r="I77" s="252"/>
      <c r="J77" s="252"/>
      <c r="K77" s="252"/>
      <c r="L77" s="483" t="s">
        <v>326</v>
      </c>
      <c r="M77" s="479">
        <v>30114.239999999998</v>
      </c>
      <c r="N77" s="253"/>
    </row>
    <row r="78" spans="2:19" ht="11.15" customHeight="1" x14ac:dyDescent="0.4">
      <c r="B78" s="254"/>
      <c r="C78" s="494"/>
      <c r="D78" s="494"/>
      <c r="E78" s="494"/>
      <c r="F78" s="494"/>
      <c r="G78" s="494"/>
      <c r="H78" s="494"/>
      <c r="I78" s="220"/>
      <c r="J78" s="220"/>
      <c r="K78" s="220"/>
      <c r="L78" s="484"/>
      <c r="M78" s="503"/>
      <c r="N78" s="255"/>
    </row>
    <row r="79" spans="2:19" ht="16.2" customHeight="1" x14ac:dyDescent="0.4">
      <c r="B79" s="256"/>
      <c r="C79" s="496" t="s">
        <v>790</v>
      </c>
      <c r="D79" s="496"/>
      <c r="E79" s="496"/>
      <c r="F79" s="496"/>
      <c r="G79" s="496"/>
      <c r="H79" s="496"/>
      <c r="I79" s="233"/>
      <c r="J79" s="233"/>
      <c r="K79" s="307" t="s">
        <v>245</v>
      </c>
      <c r="L79" s="233"/>
      <c r="M79" s="261">
        <v>3028.68</v>
      </c>
      <c r="N79" s="174"/>
    </row>
    <row r="80" spans="2:19" ht="16.2" customHeight="1" thickBot="1" x14ac:dyDescent="0.5">
      <c r="B80" s="254"/>
      <c r="C80" s="497" t="s">
        <v>322</v>
      </c>
      <c r="D80" s="497"/>
      <c r="E80" s="497"/>
      <c r="F80" s="497"/>
      <c r="G80" s="497"/>
      <c r="H80" s="497"/>
      <c r="I80" s="302"/>
      <c r="J80" s="302"/>
      <c r="K80" s="303"/>
      <c r="L80" s="303"/>
      <c r="M80" s="261">
        <f>3.48-0.7</f>
        <v>2.7800000000000002</v>
      </c>
      <c r="N80" s="255"/>
    </row>
    <row r="81" spans="2:16" ht="16.2" hidden="1" customHeight="1" x14ac:dyDescent="0.45">
      <c r="B81" s="254"/>
      <c r="C81" s="496" t="s">
        <v>776</v>
      </c>
      <c r="D81" s="496"/>
      <c r="E81" s="496"/>
      <c r="F81" s="496"/>
      <c r="G81" s="496"/>
      <c r="H81" s="496"/>
      <c r="I81" s="221"/>
      <c r="J81" s="221"/>
      <c r="K81" s="230"/>
      <c r="L81" s="230"/>
      <c r="M81" s="262">
        <v>0</v>
      </c>
      <c r="N81" s="255"/>
    </row>
    <row r="82" spans="2:16" ht="13.5" customHeight="1" x14ac:dyDescent="0.4">
      <c r="B82" s="251"/>
      <c r="C82" s="498" t="s">
        <v>881</v>
      </c>
      <c r="D82" s="498"/>
      <c r="E82" s="498"/>
      <c r="F82" s="498"/>
      <c r="G82" s="498"/>
      <c r="H82" s="498"/>
      <c r="I82" s="260"/>
      <c r="J82" s="260"/>
      <c r="K82" s="260"/>
      <c r="L82" s="485" t="s">
        <v>326</v>
      </c>
      <c r="M82" s="477">
        <f>SUM(M77:M80)-M81</f>
        <v>33145.699999999997</v>
      </c>
      <c r="N82" s="253"/>
    </row>
    <row r="83" spans="2:16" ht="13.5" customHeight="1" thickBot="1" x14ac:dyDescent="0.45">
      <c r="B83" s="257"/>
      <c r="C83" s="499"/>
      <c r="D83" s="499"/>
      <c r="E83" s="499"/>
      <c r="F83" s="499"/>
      <c r="G83" s="499"/>
      <c r="H83" s="499"/>
      <c r="I83" s="258"/>
      <c r="J83" s="258"/>
      <c r="K83" s="258"/>
      <c r="L83" s="486"/>
      <c r="M83" s="478"/>
      <c r="N83" s="259"/>
      <c r="O83" s="135" t="s">
        <v>245</v>
      </c>
      <c r="P83" s="135" t="s">
        <v>245</v>
      </c>
    </row>
    <row r="84" spans="2:16" ht="13.5" customHeight="1" x14ac:dyDescent="0.4">
      <c r="C84" s="8"/>
      <c r="D84" s="8"/>
      <c r="E84" s="13"/>
      <c r="F84" s="13"/>
      <c r="G84" s="13"/>
      <c r="H84" s="13"/>
      <c r="I84" s="13"/>
      <c r="J84" s="13"/>
      <c r="K84" s="13"/>
      <c r="L84" s="13"/>
      <c r="M84" s="15" t="s">
        <v>245</v>
      </c>
      <c r="N84" s="8"/>
    </row>
    <row r="85" spans="2:16" ht="13.5" customHeight="1" x14ac:dyDescent="0.4">
      <c r="C85" s="8"/>
      <c r="D85" s="8"/>
      <c r="E85" s="13"/>
      <c r="F85" s="13"/>
      <c r="G85" s="13"/>
      <c r="H85" s="13"/>
      <c r="I85" s="13"/>
      <c r="J85" s="13"/>
      <c r="K85" s="13"/>
      <c r="L85" s="13"/>
      <c r="M85" s="15"/>
      <c r="N85" s="8"/>
    </row>
    <row r="86" spans="2:16" ht="13.5" customHeight="1" x14ac:dyDescent="0.4">
      <c r="C86" s="8"/>
      <c r="D86" s="8"/>
      <c r="E86" s="13"/>
      <c r="F86" s="13"/>
      <c r="G86" s="13"/>
      <c r="H86" s="13"/>
      <c r="I86" s="13"/>
      <c r="J86" s="13"/>
      <c r="K86" s="13"/>
      <c r="L86" s="13"/>
      <c r="M86" s="15"/>
      <c r="N86" s="8"/>
    </row>
    <row r="87" spans="2:16" ht="13.5" customHeight="1" x14ac:dyDescent="0.4">
      <c r="C87" s="237" t="s">
        <v>13</v>
      </c>
      <c r="D87" s="235"/>
      <c r="E87" s="235"/>
      <c r="F87" s="235"/>
      <c r="G87" s="237" t="s">
        <v>82</v>
      </c>
      <c r="H87" s="235"/>
      <c r="I87" s="237" t="s">
        <v>289</v>
      </c>
      <c r="J87" s="237"/>
      <c r="K87" s="235"/>
      <c r="L87" s="235"/>
      <c r="M87" s="235" t="s">
        <v>261</v>
      </c>
      <c r="N87" s="8"/>
    </row>
    <row r="88" spans="2:16" ht="13.5" customHeight="1" x14ac:dyDescent="0.4"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</row>
    <row r="89" spans="2:16" ht="20.149999999999999" customHeight="1" x14ac:dyDescent="0.4">
      <c r="C89" s="234" t="s">
        <v>290</v>
      </c>
      <c r="D89" s="235"/>
      <c r="E89" s="235"/>
      <c r="F89" s="235"/>
      <c r="G89" s="234" t="s">
        <v>14</v>
      </c>
      <c r="H89" s="235"/>
      <c r="I89" s="234" t="s">
        <v>17</v>
      </c>
      <c r="J89" s="234"/>
      <c r="K89" s="235"/>
      <c r="L89" s="235"/>
      <c r="M89" s="234" t="s">
        <v>8</v>
      </c>
      <c r="N89" s="8"/>
    </row>
    <row r="90" spans="2:16" ht="13.5" customHeight="1" x14ac:dyDescent="0.4">
      <c r="C90" s="19" t="s">
        <v>317</v>
      </c>
      <c r="D90" s="8"/>
      <c r="E90" s="8"/>
      <c r="F90" s="8"/>
      <c r="G90" s="19" t="s">
        <v>15</v>
      </c>
      <c r="H90" s="8"/>
      <c r="I90" s="19" t="s">
        <v>292</v>
      </c>
      <c r="J90" s="19"/>
      <c r="K90" s="8"/>
      <c r="L90" s="8"/>
      <c r="M90" s="19" t="s">
        <v>262</v>
      </c>
      <c r="N90" s="8"/>
    </row>
    <row r="91" spans="2:16" ht="13.5" customHeight="1" x14ac:dyDescent="0.4"/>
    <row r="92" spans="2:16" ht="13.5" customHeight="1" x14ac:dyDescent="0.4"/>
    <row r="93" spans="2:16" ht="13.5" customHeight="1" x14ac:dyDescent="0.4"/>
    <row r="94" spans="2:16" ht="13.5" customHeight="1" x14ac:dyDescent="0.4"/>
    <row r="95" spans="2:16" ht="13.5" customHeight="1" x14ac:dyDescent="0.4"/>
    <row r="96" spans="2:16" ht="13.5" customHeight="1" x14ac:dyDescent="0.4"/>
  </sheetData>
  <mergeCells count="22">
    <mergeCell ref="C82:H83"/>
    <mergeCell ref="L82:L83"/>
    <mergeCell ref="M82:M83"/>
    <mergeCell ref="C77:H78"/>
    <mergeCell ref="L77:L78"/>
    <mergeCell ref="M77:M78"/>
    <mergeCell ref="C79:H79"/>
    <mergeCell ref="C80:H80"/>
    <mergeCell ref="C81:H81"/>
    <mergeCell ref="E72:G72"/>
    <mergeCell ref="C4:N4"/>
    <mergeCell ref="C5:M5"/>
    <mergeCell ref="C6:M6"/>
    <mergeCell ref="C7:M7"/>
    <mergeCell ref="C8:M8"/>
    <mergeCell ref="C14:E14"/>
    <mergeCell ref="C16:E16"/>
    <mergeCell ref="E42:G42"/>
    <mergeCell ref="E43:G43"/>
    <mergeCell ref="G49:I49"/>
    <mergeCell ref="E71:G71"/>
    <mergeCell ref="G56:J56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E206EF-7D31-4620-8497-CB200F1C149F}">
  <dimension ref="B2:P76"/>
  <sheetViews>
    <sheetView workbookViewId="0">
      <selection sqref="A1:XFD1048576"/>
    </sheetView>
  </sheetViews>
  <sheetFormatPr defaultRowHeight="14.6" x14ac:dyDescent="0.4"/>
  <cols>
    <col min="1" max="1" width="2.3046875" customWidth="1"/>
    <col min="2" max="2" width="13.3046875" customWidth="1"/>
    <col min="3" max="3" width="4.84375" customWidth="1"/>
    <col min="4" max="4" width="12.3046875" customWidth="1"/>
    <col min="5" max="5" width="1.53515625" customWidth="1"/>
    <col min="6" max="6" width="19.84375" customWidth="1"/>
    <col min="7" max="7" width="22.3046875" customWidth="1"/>
    <col min="8" max="8" width="23.3046875" hidden="1" customWidth="1"/>
    <col min="9" max="9" width="13.69140625" customWidth="1"/>
    <col min="10" max="10" width="12.07421875" customWidth="1"/>
    <col min="11" max="12" width="12.3046875" customWidth="1"/>
    <col min="13" max="13" width="11.53515625" customWidth="1"/>
    <col min="14" max="14" width="12.4609375" customWidth="1"/>
    <col min="15" max="15" width="10.69140625" customWidth="1"/>
    <col min="16" max="16" width="12" customWidth="1"/>
  </cols>
  <sheetData>
    <row r="2" spans="2:12" x14ac:dyDescent="0.4">
      <c r="B2" s="246" t="s">
        <v>329</v>
      </c>
    </row>
    <row r="3" spans="2:12" x14ac:dyDescent="0.4">
      <c r="B3" s="246"/>
    </row>
    <row r="4" spans="2:12" x14ac:dyDescent="0.4">
      <c r="B4" s="246"/>
    </row>
    <row r="5" spans="2:12" x14ac:dyDescent="0.4">
      <c r="B5" s="246"/>
    </row>
    <row r="6" spans="2:12" x14ac:dyDescent="0.4">
      <c r="B6" s="246"/>
    </row>
    <row r="7" spans="2:12" ht="14.15" customHeight="1" x14ac:dyDescent="0.4">
      <c r="B7" s="468" t="s">
        <v>0</v>
      </c>
      <c r="C7" s="468"/>
      <c r="D7" s="468"/>
      <c r="E7" s="468"/>
      <c r="F7" s="468"/>
      <c r="G7" s="468"/>
      <c r="H7" s="468"/>
      <c r="I7" s="468"/>
      <c r="J7" s="468"/>
      <c r="K7" s="468"/>
      <c r="L7" s="468"/>
    </row>
    <row r="8" spans="2:12" ht="14.15" customHeight="1" x14ac:dyDescent="0.4">
      <c r="B8" s="19"/>
      <c r="C8" s="19"/>
      <c r="D8" s="19"/>
      <c r="E8" s="19"/>
      <c r="F8" s="19"/>
      <c r="G8" s="19" t="s">
        <v>18</v>
      </c>
      <c r="H8" s="19"/>
      <c r="I8" s="19"/>
      <c r="J8" s="19"/>
      <c r="K8" s="19"/>
      <c r="L8" s="1"/>
    </row>
    <row r="9" spans="2:12" ht="14.15" customHeight="1" x14ac:dyDescent="0.4">
      <c r="B9" s="8"/>
      <c r="C9" s="8"/>
      <c r="D9" s="8"/>
      <c r="E9" s="8"/>
      <c r="F9" s="473" t="s">
        <v>874</v>
      </c>
      <c r="G9" s="473"/>
      <c r="H9" s="473"/>
      <c r="I9" s="473"/>
      <c r="J9" s="473"/>
      <c r="K9" s="8"/>
    </row>
    <row r="10" spans="2:12" ht="14.15" customHeight="1" thickBot="1" x14ac:dyDescent="0.45">
      <c r="B10" s="8"/>
      <c r="C10" s="8"/>
      <c r="D10" s="8"/>
      <c r="E10" s="8"/>
      <c r="F10" s="8"/>
      <c r="G10" s="8"/>
      <c r="H10" s="8"/>
      <c r="I10" s="8"/>
      <c r="J10" s="8"/>
      <c r="K10" s="8"/>
    </row>
    <row r="11" spans="2:12" ht="21.75" customHeight="1" x14ac:dyDescent="0.4">
      <c r="B11" s="308"/>
      <c r="C11" s="309"/>
      <c r="D11" s="310"/>
      <c r="E11" s="309"/>
      <c r="F11" s="311"/>
      <c r="G11" s="500" t="s">
        <v>304</v>
      </c>
      <c r="H11" s="500" t="s">
        <v>299</v>
      </c>
      <c r="I11" s="500" t="s">
        <v>293</v>
      </c>
      <c r="J11" s="502" t="s">
        <v>301</v>
      </c>
      <c r="K11" s="502"/>
      <c r="L11" s="500" t="s">
        <v>296</v>
      </c>
    </row>
    <row r="12" spans="2:12" ht="30" customHeight="1" thickBot="1" x14ac:dyDescent="0.45">
      <c r="B12" s="312" t="s">
        <v>5</v>
      </c>
      <c r="C12" s="313"/>
      <c r="D12" s="314" t="s">
        <v>309</v>
      </c>
      <c r="E12" s="313"/>
      <c r="F12" s="315" t="s">
        <v>1</v>
      </c>
      <c r="G12" s="501"/>
      <c r="H12" s="501"/>
      <c r="I12" s="501"/>
      <c r="J12" s="316" t="s">
        <v>302</v>
      </c>
      <c r="K12" s="317" t="s">
        <v>303</v>
      </c>
      <c r="L12" s="501"/>
    </row>
    <row r="13" spans="2:12" ht="16.2" customHeight="1" x14ac:dyDescent="0.4">
      <c r="B13" s="137" t="s">
        <v>57</v>
      </c>
      <c r="C13" s="19"/>
      <c r="D13" s="155"/>
      <c r="E13" s="19"/>
      <c r="F13" s="170"/>
      <c r="G13" s="110"/>
      <c r="H13" s="110"/>
      <c r="I13" s="157"/>
      <c r="J13" s="178"/>
      <c r="K13" s="183"/>
      <c r="L13" s="186"/>
    </row>
    <row r="14" spans="2:12" ht="16.2" customHeight="1" x14ac:dyDescent="0.4">
      <c r="B14" s="138" t="s">
        <v>28</v>
      </c>
      <c r="C14" s="139" t="s">
        <v>245</v>
      </c>
      <c r="D14" s="140">
        <v>2982</v>
      </c>
      <c r="E14" s="141"/>
      <c r="F14" s="171" t="s">
        <v>74</v>
      </c>
      <c r="G14" s="158">
        <v>100</v>
      </c>
      <c r="H14" s="158"/>
      <c r="I14" s="140"/>
      <c r="J14" s="114"/>
      <c r="K14" s="184" t="s">
        <v>245</v>
      </c>
      <c r="L14" s="163"/>
    </row>
    <row r="15" spans="2:12" ht="16.2" customHeight="1" x14ac:dyDescent="0.4">
      <c r="B15" s="138" t="s">
        <v>28</v>
      </c>
      <c r="C15" s="139"/>
      <c r="D15" s="140">
        <f>1+D14</f>
        <v>2983</v>
      </c>
      <c r="E15" s="141"/>
      <c r="F15" s="171" t="s">
        <v>33</v>
      </c>
      <c r="G15" s="158">
        <v>100</v>
      </c>
      <c r="H15" s="158"/>
      <c r="I15" s="140"/>
      <c r="J15" s="114"/>
      <c r="K15" s="184"/>
      <c r="L15" s="163"/>
    </row>
    <row r="16" spans="2:12" ht="16.2" customHeight="1" x14ac:dyDescent="0.4">
      <c r="B16" s="138" t="s">
        <v>28</v>
      </c>
      <c r="C16" s="139"/>
      <c r="D16" s="140">
        <f t="shared" ref="D16:D21" si="0">1+D15</f>
        <v>2984</v>
      </c>
      <c r="E16" s="141"/>
      <c r="F16" s="171" t="s">
        <v>41</v>
      </c>
      <c r="G16" s="158">
        <v>100</v>
      </c>
      <c r="H16" s="158"/>
      <c r="I16" s="140"/>
      <c r="J16" s="114"/>
      <c r="K16" s="184"/>
      <c r="L16" s="163"/>
    </row>
    <row r="17" spans="2:13" ht="16.2" customHeight="1" x14ac:dyDescent="0.4">
      <c r="B17" s="138" t="s">
        <v>28</v>
      </c>
      <c r="C17" s="139"/>
      <c r="D17" s="140">
        <f t="shared" si="0"/>
        <v>2985</v>
      </c>
      <c r="E17" s="141"/>
      <c r="F17" s="171" t="s">
        <v>349</v>
      </c>
      <c r="G17" s="158">
        <v>100</v>
      </c>
      <c r="H17" s="158"/>
      <c r="I17" s="140"/>
      <c r="J17" s="114"/>
      <c r="K17" s="184"/>
      <c r="L17" s="163"/>
    </row>
    <row r="18" spans="2:13" ht="16.2" customHeight="1" x14ac:dyDescent="0.4">
      <c r="B18" s="138" t="s">
        <v>28</v>
      </c>
      <c r="C18" s="139"/>
      <c r="D18" s="140">
        <f t="shared" si="0"/>
        <v>2986</v>
      </c>
      <c r="E18" s="141"/>
      <c r="F18" s="171" t="s">
        <v>232</v>
      </c>
      <c r="G18" s="158">
        <v>100</v>
      </c>
      <c r="H18" s="158"/>
      <c r="I18" s="140"/>
      <c r="J18" s="114"/>
      <c r="K18" s="184"/>
      <c r="L18" s="163"/>
    </row>
    <row r="19" spans="2:13" ht="16.2" customHeight="1" x14ac:dyDescent="0.4">
      <c r="B19" s="138" t="s">
        <v>28</v>
      </c>
      <c r="C19" s="139"/>
      <c r="D19" s="140">
        <f t="shared" si="0"/>
        <v>2987</v>
      </c>
      <c r="E19" s="141"/>
      <c r="F19" s="171" t="s">
        <v>760</v>
      </c>
      <c r="G19" s="158">
        <v>100</v>
      </c>
      <c r="H19" s="158"/>
      <c r="I19" s="140"/>
      <c r="J19" s="114"/>
      <c r="K19" s="184"/>
      <c r="L19" s="163"/>
    </row>
    <row r="20" spans="2:13" ht="16.2" customHeight="1" x14ac:dyDescent="0.4">
      <c r="B20" s="138" t="s">
        <v>28</v>
      </c>
      <c r="C20" s="139"/>
      <c r="D20" s="140">
        <f t="shared" si="0"/>
        <v>2988</v>
      </c>
      <c r="E20" s="141"/>
      <c r="F20" s="171" t="s">
        <v>20</v>
      </c>
      <c r="G20" s="158">
        <v>100</v>
      </c>
      <c r="H20" s="158"/>
      <c r="I20" s="140"/>
      <c r="J20" s="114"/>
      <c r="K20" s="184"/>
      <c r="L20" s="163"/>
    </row>
    <row r="21" spans="2:13" ht="16.2" customHeight="1" x14ac:dyDescent="0.4">
      <c r="B21" s="138" t="s">
        <v>28</v>
      </c>
      <c r="C21" s="139"/>
      <c r="D21" s="140">
        <f t="shared" si="0"/>
        <v>2989</v>
      </c>
      <c r="E21" s="141"/>
      <c r="F21" s="171" t="s">
        <v>294</v>
      </c>
      <c r="G21" s="158">
        <v>100</v>
      </c>
      <c r="H21" s="158"/>
      <c r="I21" s="140"/>
      <c r="J21" s="114"/>
      <c r="K21" s="184"/>
      <c r="L21" s="163"/>
    </row>
    <row r="22" spans="2:13" ht="18" customHeight="1" x14ac:dyDescent="0.4">
      <c r="B22" s="154" t="s">
        <v>307</v>
      </c>
      <c r="D22" s="111"/>
      <c r="F22" s="109"/>
      <c r="G22" s="161">
        <f>SUM(G14:G21)</f>
        <v>800</v>
      </c>
      <c r="H22" s="161"/>
      <c r="I22" s="162">
        <f>G22-J22</f>
        <v>0</v>
      </c>
      <c r="J22" s="114">
        <v>800</v>
      </c>
      <c r="K22" s="185">
        <v>200</v>
      </c>
      <c r="L22" s="198">
        <f>J22+K22</f>
        <v>1000</v>
      </c>
      <c r="M22" t="s">
        <v>245</v>
      </c>
    </row>
    <row r="23" spans="2:13" ht="16.2" customHeight="1" x14ac:dyDescent="0.4">
      <c r="B23" s="138">
        <v>11</v>
      </c>
      <c r="C23" s="141"/>
      <c r="D23" s="140">
        <v>2990</v>
      </c>
      <c r="E23" s="141"/>
      <c r="F23" s="172" t="s">
        <v>839</v>
      </c>
      <c r="G23" s="158">
        <v>100</v>
      </c>
      <c r="H23" s="159"/>
      <c r="I23" s="140"/>
      <c r="J23" s="114"/>
      <c r="K23" s="185"/>
      <c r="L23" s="167" t="s">
        <v>245</v>
      </c>
    </row>
    <row r="24" spans="2:13" ht="16.2" customHeight="1" x14ac:dyDescent="0.4">
      <c r="B24" s="138">
        <v>11</v>
      </c>
      <c r="C24" s="141"/>
      <c r="D24" s="140">
        <f>1+D23</f>
        <v>2991</v>
      </c>
      <c r="E24" s="141"/>
      <c r="F24" s="172" t="s">
        <v>74</v>
      </c>
      <c r="G24" s="275">
        <v>100</v>
      </c>
      <c r="H24" s="159"/>
      <c r="I24" s="140"/>
      <c r="J24" s="114"/>
      <c r="K24" s="185"/>
      <c r="L24" s="167"/>
      <c r="M24" s="272"/>
    </row>
    <row r="25" spans="2:13" ht="16.2" customHeight="1" x14ac:dyDescent="0.4">
      <c r="B25" s="138">
        <v>11</v>
      </c>
      <c r="C25" s="141"/>
      <c r="D25" s="140">
        <f>1+D24</f>
        <v>2992</v>
      </c>
      <c r="E25" s="141"/>
      <c r="F25" s="172" t="s">
        <v>844</v>
      </c>
      <c r="G25" s="158">
        <v>100</v>
      </c>
      <c r="H25" s="159"/>
      <c r="I25" s="140"/>
      <c r="J25" s="114"/>
      <c r="K25" s="185"/>
      <c r="L25" s="167"/>
    </row>
    <row r="26" spans="2:13" ht="16.2" customHeight="1" x14ac:dyDescent="0.4">
      <c r="B26" s="138">
        <v>11</v>
      </c>
      <c r="C26" s="141"/>
      <c r="D26" s="140">
        <f t="shared" ref="D26:D30" si="1">1+D25</f>
        <v>2993</v>
      </c>
      <c r="E26" s="141"/>
      <c r="F26" s="172" t="s">
        <v>875</v>
      </c>
      <c r="G26" s="158">
        <v>100</v>
      </c>
      <c r="H26" s="159"/>
      <c r="I26" s="140"/>
      <c r="J26" s="114"/>
      <c r="K26" s="185"/>
      <c r="L26" s="167"/>
    </row>
    <row r="27" spans="2:13" ht="16.2" customHeight="1" x14ac:dyDescent="0.4">
      <c r="B27" s="138">
        <v>11</v>
      </c>
      <c r="C27" s="141"/>
      <c r="D27" s="140">
        <f t="shared" si="1"/>
        <v>2994</v>
      </c>
      <c r="E27" s="141"/>
      <c r="F27" s="172" t="s">
        <v>294</v>
      </c>
      <c r="G27" s="158">
        <v>100</v>
      </c>
      <c r="H27" s="159"/>
      <c r="I27" s="140"/>
      <c r="J27" s="114"/>
      <c r="K27" s="185"/>
      <c r="L27" s="167"/>
    </row>
    <row r="28" spans="2:13" ht="16.2" customHeight="1" x14ac:dyDescent="0.4">
      <c r="B28" s="138">
        <v>11</v>
      </c>
      <c r="C28" s="141"/>
      <c r="D28" s="140">
        <f t="shared" si="1"/>
        <v>2995</v>
      </c>
      <c r="E28" s="141"/>
      <c r="F28" s="172" t="s">
        <v>20</v>
      </c>
      <c r="G28" s="158">
        <v>100</v>
      </c>
      <c r="H28" s="159"/>
      <c r="I28" s="140"/>
      <c r="J28" s="114"/>
      <c r="K28" s="185"/>
      <c r="L28" s="167"/>
    </row>
    <row r="29" spans="2:13" ht="16.2" customHeight="1" x14ac:dyDescent="0.4">
      <c r="B29" s="138">
        <v>11</v>
      </c>
      <c r="C29" s="141"/>
      <c r="D29" s="140">
        <f t="shared" si="1"/>
        <v>2996</v>
      </c>
      <c r="E29" s="141"/>
      <c r="F29" s="172" t="s">
        <v>41</v>
      </c>
      <c r="G29" s="158">
        <v>100</v>
      </c>
      <c r="H29" s="159"/>
      <c r="I29" s="140"/>
      <c r="J29" s="114"/>
      <c r="K29" s="185"/>
      <c r="L29" s="167"/>
    </row>
    <row r="30" spans="2:13" ht="16.2" customHeight="1" x14ac:dyDescent="0.4">
      <c r="B30" s="138">
        <v>11</v>
      </c>
      <c r="C30" s="141"/>
      <c r="D30" s="140">
        <f t="shared" si="1"/>
        <v>2997</v>
      </c>
      <c r="E30" s="141"/>
      <c r="F30" s="396" t="s">
        <v>379</v>
      </c>
      <c r="G30" s="158">
        <v>100</v>
      </c>
      <c r="H30" s="159"/>
      <c r="I30" s="140"/>
      <c r="J30" s="114"/>
      <c r="K30" s="185"/>
      <c r="L30" s="167"/>
    </row>
    <row r="31" spans="2:13" ht="16.2" hidden="1" customHeight="1" x14ac:dyDescent="0.4">
      <c r="B31" s="138"/>
      <c r="C31" s="141"/>
      <c r="D31" s="140"/>
      <c r="E31" s="141"/>
      <c r="F31" s="172"/>
      <c r="G31" s="158">
        <v>0</v>
      </c>
      <c r="H31" s="159"/>
      <c r="I31" s="140"/>
      <c r="J31" s="114"/>
      <c r="K31" s="185"/>
      <c r="L31" s="167"/>
    </row>
    <row r="32" spans="2:13" ht="16.2" hidden="1" customHeight="1" x14ac:dyDescent="0.4">
      <c r="B32" s="138"/>
      <c r="C32" s="141"/>
      <c r="D32" s="140"/>
      <c r="E32" s="141"/>
      <c r="F32" s="172"/>
      <c r="G32" s="158">
        <v>0</v>
      </c>
      <c r="H32" s="159"/>
      <c r="I32" s="140"/>
      <c r="J32" s="114"/>
      <c r="K32" s="185"/>
      <c r="L32" s="167"/>
    </row>
    <row r="33" spans="2:16" ht="16.2" hidden="1" customHeight="1" x14ac:dyDescent="0.4">
      <c r="B33" s="138"/>
      <c r="C33" s="141"/>
      <c r="D33" s="140"/>
      <c r="E33" s="141"/>
      <c r="F33" s="172"/>
      <c r="G33" s="158">
        <v>0</v>
      </c>
      <c r="H33" s="159"/>
      <c r="I33" s="140"/>
      <c r="J33" s="114"/>
      <c r="K33" s="185"/>
      <c r="L33" s="167"/>
    </row>
    <row r="34" spans="2:16" ht="16.2" customHeight="1" x14ac:dyDescent="0.4">
      <c r="B34" s="154" t="s">
        <v>307</v>
      </c>
      <c r="C34" s="141"/>
      <c r="D34" s="140"/>
      <c r="E34" s="141"/>
      <c r="F34" s="172"/>
      <c r="G34" s="289">
        <f>SUM(G23:G33)</f>
        <v>800</v>
      </c>
      <c r="H34" s="159"/>
      <c r="I34" s="162">
        <f>G34-J34</f>
        <v>0</v>
      </c>
      <c r="J34" s="142">
        <v>800</v>
      </c>
      <c r="K34" s="185">
        <v>200</v>
      </c>
      <c r="L34" s="198">
        <f>J34+K34</f>
        <v>1000</v>
      </c>
    </row>
    <row r="35" spans="2:16" ht="16.2" customHeight="1" x14ac:dyDescent="0.4">
      <c r="B35" s="138">
        <v>25</v>
      </c>
      <c r="C35" s="141"/>
      <c r="D35" s="140">
        <v>2998</v>
      </c>
      <c r="E35" s="141"/>
      <c r="F35" s="172" t="s">
        <v>74</v>
      </c>
      <c r="G35" s="275">
        <v>100</v>
      </c>
      <c r="H35" s="159"/>
      <c r="I35" s="140"/>
      <c r="J35" s="114"/>
      <c r="K35" s="185"/>
      <c r="L35" s="198"/>
      <c r="M35" s="272"/>
    </row>
    <row r="36" spans="2:16" ht="16.2" customHeight="1" x14ac:dyDescent="0.4">
      <c r="B36" s="138">
        <v>25</v>
      </c>
      <c r="C36" s="141"/>
      <c r="D36" s="140">
        <f t="shared" ref="D36:D39" si="2">1+D35</f>
        <v>2999</v>
      </c>
      <c r="E36" s="141"/>
      <c r="F36" s="172" t="s">
        <v>232</v>
      </c>
      <c r="G36" s="275">
        <v>100</v>
      </c>
      <c r="H36" s="159"/>
      <c r="I36" s="140"/>
      <c r="J36" s="114"/>
      <c r="K36" s="185"/>
      <c r="L36" s="198"/>
      <c r="M36" s="272"/>
    </row>
    <row r="37" spans="2:16" ht="16.2" customHeight="1" x14ac:dyDescent="0.4">
      <c r="B37" s="138">
        <v>25</v>
      </c>
      <c r="C37" s="141"/>
      <c r="D37" s="140">
        <f t="shared" si="2"/>
        <v>3000</v>
      </c>
      <c r="E37" s="141"/>
      <c r="F37" s="172" t="s">
        <v>41</v>
      </c>
      <c r="G37" s="275">
        <v>100</v>
      </c>
      <c r="H37" s="159"/>
      <c r="I37" s="140"/>
      <c r="J37" s="114"/>
      <c r="K37" s="185"/>
      <c r="L37" s="198"/>
    </row>
    <row r="38" spans="2:16" ht="16.2" customHeight="1" x14ac:dyDescent="0.4">
      <c r="B38" s="138">
        <v>25</v>
      </c>
      <c r="C38" s="141"/>
      <c r="D38" s="140">
        <f t="shared" si="2"/>
        <v>3001</v>
      </c>
      <c r="E38" s="141"/>
      <c r="F38" s="172" t="s">
        <v>33</v>
      </c>
      <c r="G38" s="275">
        <v>100</v>
      </c>
      <c r="H38" s="159"/>
      <c r="I38" s="140"/>
      <c r="J38" s="114"/>
      <c r="K38" s="185"/>
      <c r="L38" s="198"/>
    </row>
    <row r="39" spans="2:16" ht="16.2" customHeight="1" x14ac:dyDescent="0.4">
      <c r="B39" s="138">
        <v>25</v>
      </c>
      <c r="C39" s="141"/>
      <c r="D39" s="140">
        <f t="shared" si="2"/>
        <v>3002</v>
      </c>
      <c r="E39" s="141"/>
      <c r="F39" s="172" t="s">
        <v>379</v>
      </c>
      <c r="G39" s="275">
        <v>100</v>
      </c>
      <c r="H39" s="159"/>
      <c r="I39" s="140"/>
      <c r="J39" s="114"/>
      <c r="K39" s="185"/>
      <c r="L39" s="198"/>
      <c r="M39" s="272"/>
      <c r="P39" s="216"/>
    </row>
    <row r="40" spans="2:16" ht="16.2" customHeight="1" thickBot="1" x14ac:dyDescent="0.45">
      <c r="B40" s="345" t="s">
        <v>307</v>
      </c>
      <c r="C40" s="395"/>
      <c r="D40" s="177"/>
      <c r="E40" s="395"/>
      <c r="F40" s="396"/>
      <c r="G40" s="400">
        <f>SUM(G35:G39)</f>
        <v>500</v>
      </c>
      <c r="H40" s="399"/>
      <c r="I40" s="162">
        <f>G40-J40</f>
        <v>0</v>
      </c>
      <c r="J40" s="114">
        <v>500</v>
      </c>
      <c r="K40" s="185">
        <v>500</v>
      </c>
      <c r="L40" s="198">
        <f>J40+K40</f>
        <v>1000</v>
      </c>
      <c r="M40" s="272"/>
    </row>
    <row r="41" spans="2:16" ht="16.2" hidden="1" customHeight="1" x14ac:dyDescent="0.4">
      <c r="B41" s="175"/>
      <c r="C41" s="395"/>
      <c r="D41" s="177"/>
      <c r="E41" s="395"/>
      <c r="F41" s="396"/>
      <c r="G41" s="397"/>
      <c r="H41" s="399"/>
      <c r="I41" s="177"/>
      <c r="J41" s="114"/>
      <c r="K41" s="185"/>
      <c r="L41" s="198"/>
    </row>
    <row r="42" spans="2:16" ht="16.2" hidden="1" customHeight="1" x14ac:dyDescent="0.4">
      <c r="B42" s="175"/>
      <c r="C42" s="395"/>
      <c r="D42" s="177"/>
      <c r="E42" s="395"/>
      <c r="F42" s="396"/>
      <c r="G42" s="397"/>
      <c r="H42" s="399"/>
      <c r="I42" s="177"/>
      <c r="J42" s="114"/>
      <c r="K42" s="185"/>
      <c r="L42" s="198"/>
    </row>
    <row r="43" spans="2:16" ht="16.2" hidden="1" customHeight="1" x14ac:dyDescent="0.4">
      <c r="B43" s="175"/>
      <c r="C43" s="395"/>
      <c r="D43" s="177"/>
      <c r="E43" s="395"/>
      <c r="F43" s="396"/>
      <c r="G43" s="397"/>
      <c r="H43" s="399"/>
      <c r="I43" s="177"/>
      <c r="J43" s="114"/>
      <c r="K43" s="185"/>
      <c r="L43" s="198"/>
    </row>
    <row r="44" spans="2:16" ht="16.2" hidden="1" customHeight="1" x14ac:dyDescent="0.4">
      <c r="B44" s="175"/>
      <c r="C44" s="395"/>
      <c r="D44" s="177"/>
      <c r="E44" s="395"/>
      <c r="F44" s="396"/>
      <c r="G44" s="397"/>
      <c r="H44" s="399"/>
      <c r="I44" s="177"/>
      <c r="J44" s="114"/>
      <c r="K44" s="185"/>
      <c r="L44" s="198"/>
    </row>
    <row r="45" spans="2:16" ht="16.2" hidden="1" customHeight="1" x14ac:dyDescent="0.4">
      <c r="B45" s="175"/>
      <c r="C45" s="395"/>
      <c r="D45" s="177"/>
      <c r="E45" s="395"/>
      <c r="F45" s="396"/>
      <c r="G45" s="397"/>
      <c r="H45" s="399"/>
      <c r="I45" s="177"/>
      <c r="J45" s="114"/>
      <c r="K45" s="185"/>
      <c r="L45" s="198"/>
    </row>
    <row r="46" spans="2:16" ht="16.2" hidden="1" customHeight="1" x14ac:dyDescent="0.4">
      <c r="B46" s="175"/>
      <c r="C46" s="395"/>
      <c r="D46" s="177"/>
      <c r="E46" s="395"/>
      <c r="F46" s="396"/>
      <c r="G46" s="397"/>
      <c r="H46" s="399"/>
      <c r="I46" s="177"/>
      <c r="J46" s="114"/>
      <c r="K46" s="185"/>
      <c r="L46" s="198"/>
    </row>
    <row r="47" spans="2:16" ht="16.2" hidden="1" customHeight="1" x14ac:dyDescent="0.4">
      <c r="B47" s="345" t="s">
        <v>307</v>
      </c>
      <c r="C47" s="395"/>
      <c r="D47" s="177"/>
      <c r="E47" s="395"/>
      <c r="F47" s="396"/>
      <c r="G47" s="400">
        <f>SUM(G41:G46)</f>
        <v>0</v>
      </c>
      <c r="H47" s="399"/>
      <c r="I47" s="162">
        <f>G47-J47</f>
        <v>0</v>
      </c>
      <c r="J47" s="114">
        <v>0</v>
      </c>
      <c r="K47" s="185">
        <v>0</v>
      </c>
      <c r="L47" s="198">
        <f t="shared" ref="L47:L53" si="3">J47+K47</f>
        <v>0</v>
      </c>
    </row>
    <row r="48" spans="2:16" ht="16.2" hidden="1" customHeight="1" x14ac:dyDescent="0.4">
      <c r="B48" s="175">
        <v>30</v>
      </c>
      <c r="C48" s="395"/>
      <c r="D48" s="177">
        <v>2963</v>
      </c>
      <c r="E48" s="395"/>
      <c r="F48" s="396" t="s">
        <v>845</v>
      </c>
      <c r="G48" s="397"/>
      <c r="H48" s="399"/>
      <c r="I48" s="177"/>
      <c r="J48" s="114"/>
      <c r="K48" s="185"/>
      <c r="L48" s="198">
        <f t="shared" si="3"/>
        <v>0</v>
      </c>
    </row>
    <row r="49" spans="2:16" ht="16.2" hidden="1" customHeight="1" x14ac:dyDescent="0.4">
      <c r="B49" s="175">
        <v>30</v>
      </c>
      <c r="C49" s="395"/>
      <c r="D49" s="177">
        <f>1+D48</f>
        <v>2964</v>
      </c>
      <c r="E49" s="395"/>
      <c r="F49" s="396" t="s">
        <v>41</v>
      </c>
      <c r="G49" s="397"/>
      <c r="H49" s="399"/>
      <c r="I49" s="177"/>
      <c r="J49" s="114"/>
      <c r="K49" s="185"/>
      <c r="L49" s="198">
        <f t="shared" si="3"/>
        <v>0</v>
      </c>
    </row>
    <row r="50" spans="2:16" ht="16.2" hidden="1" customHeight="1" x14ac:dyDescent="0.4">
      <c r="B50" s="175">
        <v>30</v>
      </c>
      <c r="C50" s="395"/>
      <c r="D50" s="177">
        <f t="shared" ref="D50:D52" si="4">1+D49</f>
        <v>2965</v>
      </c>
      <c r="E50" s="395"/>
      <c r="F50" s="396" t="s">
        <v>294</v>
      </c>
      <c r="G50" s="397"/>
      <c r="H50" s="399"/>
      <c r="I50" s="177"/>
      <c r="J50" s="114"/>
      <c r="K50" s="185"/>
      <c r="L50" s="198"/>
    </row>
    <row r="51" spans="2:16" ht="16.2" hidden="1" customHeight="1" x14ac:dyDescent="0.4">
      <c r="B51" s="175">
        <v>30</v>
      </c>
      <c r="C51" s="395"/>
      <c r="D51" s="177">
        <f t="shared" si="4"/>
        <v>2966</v>
      </c>
      <c r="E51" s="395"/>
      <c r="F51" s="396" t="s">
        <v>846</v>
      </c>
      <c r="G51" s="397"/>
      <c r="H51" s="399"/>
      <c r="I51" s="177"/>
      <c r="J51" s="114"/>
      <c r="K51" s="185"/>
      <c r="L51" s="198"/>
    </row>
    <row r="52" spans="2:16" ht="16.2" hidden="1" customHeight="1" x14ac:dyDescent="0.4">
      <c r="B52" s="175">
        <v>30</v>
      </c>
      <c r="C52" s="395"/>
      <c r="D52" s="177">
        <f t="shared" si="4"/>
        <v>2967</v>
      </c>
      <c r="E52" s="395"/>
      <c r="F52" s="396" t="s">
        <v>843</v>
      </c>
      <c r="G52" s="397"/>
      <c r="H52" s="399"/>
      <c r="I52" s="177"/>
      <c r="J52" s="114"/>
      <c r="K52" s="185"/>
      <c r="L52" s="198"/>
    </row>
    <row r="53" spans="2:16" ht="16.2" hidden="1" customHeight="1" thickBot="1" x14ac:dyDescent="0.45">
      <c r="B53" s="345" t="s">
        <v>307</v>
      </c>
      <c r="C53" s="395"/>
      <c r="D53" s="177"/>
      <c r="E53" s="395"/>
      <c r="F53" s="396"/>
      <c r="G53" s="419">
        <f>SUM(G48:G52)</f>
        <v>0</v>
      </c>
      <c r="H53" s="399"/>
      <c r="I53" s="177"/>
      <c r="J53" s="114">
        <v>0</v>
      </c>
      <c r="K53" s="185">
        <v>0</v>
      </c>
      <c r="L53" s="198">
        <f t="shared" si="3"/>
        <v>0</v>
      </c>
    </row>
    <row r="54" spans="2:16" ht="22.2" customHeight="1" thickBot="1" x14ac:dyDescent="0.45">
      <c r="B54" s="318" t="s">
        <v>297</v>
      </c>
      <c r="C54" s="319"/>
      <c r="D54" s="320"/>
      <c r="E54" s="321"/>
      <c r="F54" s="319"/>
      <c r="G54" s="322">
        <f>G53+G47+G40+G34+G22</f>
        <v>2100</v>
      </c>
      <c r="H54" s="322"/>
      <c r="I54" s="322">
        <f>I53+I47+I40+I34+I22</f>
        <v>0</v>
      </c>
      <c r="J54" s="322">
        <f>J53+J47+J40+J34+J22</f>
        <v>2100</v>
      </c>
      <c r="K54" s="322">
        <f>K53+K47+K40+K34+K22</f>
        <v>900</v>
      </c>
      <c r="L54" s="322">
        <f>L53+L47+L40+L34+L22</f>
        <v>3000</v>
      </c>
      <c r="P54" s="408"/>
    </row>
    <row r="55" spans="2:16" ht="16.2" customHeight="1" x14ac:dyDescent="0.4">
      <c r="B55" s="9"/>
      <c r="C55" s="8"/>
      <c r="D55" s="19"/>
      <c r="E55" s="19"/>
      <c r="F55" s="8"/>
      <c r="G55" s="10"/>
      <c r="H55" s="10"/>
      <c r="I55" s="14" t="s">
        <v>245</v>
      </c>
      <c r="J55" s="14" t="s">
        <v>245</v>
      </c>
      <c r="K55" s="12"/>
      <c r="L55" s="15" t="s">
        <v>245</v>
      </c>
      <c r="P55" s="409"/>
    </row>
    <row r="56" spans="2:16" ht="16.2" customHeight="1" x14ac:dyDescent="0.4">
      <c r="B56" s="9"/>
      <c r="C56" s="8"/>
      <c r="D56" s="19"/>
      <c r="E56" s="19"/>
      <c r="F56" s="8"/>
      <c r="G56" s="10" t="s">
        <v>245</v>
      </c>
      <c r="H56" s="10"/>
      <c r="I56" s="14" t="s">
        <v>245</v>
      </c>
      <c r="J56" s="14"/>
      <c r="K56" s="12"/>
      <c r="L56" s="15"/>
      <c r="P56" s="135"/>
    </row>
    <row r="57" spans="2:16" ht="14.15" customHeight="1" x14ac:dyDescent="0.4">
      <c r="B57" s="9"/>
      <c r="C57" s="8"/>
      <c r="D57" s="19"/>
      <c r="E57" s="19"/>
      <c r="F57" s="8"/>
      <c r="G57" s="10"/>
      <c r="H57" s="10"/>
      <c r="I57" s="14" t="s">
        <v>245</v>
      </c>
      <c r="J57" s="14" t="s">
        <v>245</v>
      </c>
      <c r="K57" s="12"/>
      <c r="L57" s="15"/>
      <c r="M57" s="135"/>
    </row>
    <row r="58" spans="2:16" ht="14.15" customHeight="1" x14ac:dyDescent="0.4">
      <c r="B58" s="8"/>
      <c r="C58" s="8"/>
      <c r="D58" s="8" t="s">
        <v>245</v>
      </c>
      <c r="E58" s="8"/>
      <c r="F58" s="8"/>
      <c r="G58" s="8"/>
      <c r="H58" s="8"/>
      <c r="I58" s="8"/>
      <c r="J58" s="8"/>
      <c r="K58" s="8"/>
    </row>
    <row r="59" spans="2:16" ht="14.15" customHeight="1" x14ac:dyDescent="0.4">
      <c r="B59" s="8"/>
      <c r="C59" s="8"/>
      <c r="D59" s="19" t="s">
        <v>245</v>
      </c>
      <c r="E59" s="8"/>
      <c r="F59" s="19" t="s">
        <v>245</v>
      </c>
      <c r="G59" s="8"/>
      <c r="H59" s="8"/>
      <c r="I59" s="8"/>
      <c r="J59" s="8"/>
      <c r="K59" s="8" t="s">
        <v>712</v>
      </c>
    </row>
    <row r="60" spans="2:16" ht="14.15" customHeight="1" x14ac:dyDescent="0.4">
      <c r="B60" s="8"/>
      <c r="C60" s="8"/>
      <c r="D60" s="8"/>
      <c r="E60" s="8"/>
      <c r="F60" s="19"/>
      <c r="G60" s="8"/>
      <c r="H60" s="8"/>
      <c r="I60" s="8"/>
      <c r="J60" s="8"/>
      <c r="K60" s="8"/>
    </row>
    <row r="61" spans="2:16" ht="14.15" customHeight="1" x14ac:dyDescent="0.4">
      <c r="B61" s="8"/>
      <c r="C61" s="8"/>
      <c r="D61" s="8"/>
      <c r="E61" s="8"/>
      <c r="F61" s="19"/>
      <c r="G61" s="8"/>
      <c r="H61" s="8"/>
      <c r="I61" s="8"/>
      <c r="J61" s="8"/>
      <c r="K61" s="8"/>
    </row>
    <row r="62" spans="2:16" ht="14.15" customHeight="1" x14ac:dyDescent="0.4">
      <c r="B62" s="8"/>
      <c r="C62" s="8"/>
      <c r="D62" s="8"/>
      <c r="E62" s="8"/>
      <c r="F62" s="19"/>
      <c r="G62" s="8"/>
      <c r="H62" s="8"/>
      <c r="I62" s="8"/>
      <c r="J62" s="8"/>
      <c r="K62" s="8"/>
    </row>
    <row r="63" spans="2:16" ht="14.15" customHeight="1" x14ac:dyDescent="0.4">
      <c r="B63" s="267" t="s">
        <v>850</v>
      </c>
      <c r="C63" s="267"/>
      <c r="D63" s="267"/>
      <c r="E63" s="267"/>
      <c r="F63" s="19"/>
      <c r="G63" s="8"/>
      <c r="H63" s="8"/>
      <c r="I63" s="8"/>
      <c r="J63" s="8"/>
      <c r="K63" s="8"/>
    </row>
    <row r="64" spans="2:16" ht="14.15" customHeight="1" thickBot="1" x14ac:dyDescent="0.45">
      <c r="B64" s="19" t="s">
        <v>245</v>
      </c>
      <c r="C64" s="8"/>
      <c r="D64" s="8"/>
      <c r="E64" s="8"/>
      <c r="F64" s="19"/>
      <c r="G64" s="19"/>
      <c r="H64" s="19"/>
      <c r="I64" s="19"/>
      <c r="J64" s="19"/>
      <c r="K64" s="19"/>
    </row>
    <row r="65" spans="2:11" ht="18" customHeight="1" thickBot="1" x14ac:dyDescent="0.45">
      <c r="B65" s="469" t="s">
        <v>311</v>
      </c>
      <c r="C65" s="470"/>
      <c r="D65" s="470"/>
      <c r="E65" s="471"/>
      <c r="F65" s="209" t="s">
        <v>123</v>
      </c>
      <c r="G65" s="19"/>
      <c r="H65" s="19"/>
      <c r="I65" s="19"/>
      <c r="J65" s="19"/>
      <c r="K65" s="19"/>
    </row>
    <row r="66" spans="2:11" ht="15" customHeight="1" thickBot="1" x14ac:dyDescent="0.45">
      <c r="B66" s="329" t="s">
        <v>57</v>
      </c>
      <c r="C66" s="330" t="s">
        <v>28</v>
      </c>
      <c r="D66" s="325" t="s">
        <v>245</v>
      </c>
      <c r="E66" s="325"/>
      <c r="F66" s="401">
        <v>1000</v>
      </c>
      <c r="G66" s="41"/>
      <c r="H66" s="41"/>
      <c r="I66" s="8"/>
      <c r="J66" s="201"/>
      <c r="K66" s="8"/>
    </row>
    <row r="67" spans="2:11" ht="15" customHeight="1" thickBot="1" x14ac:dyDescent="0.45">
      <c r="B67" s="329" t="s">
        <v>57</v>
      </c>
      <c r="C67" s="330">
        <v>11</v>
      </c>
      <c r="D67" s="325"/>
      <c r="E67" s="325"/>
      <c r="F67" s="401">
        <v>1000</v>
      </c>
      <c r="G67" s="41"/>
      <c r="H67" s="41"/>
      <c r="I67" s="8"/>
      <c r="J67" s="201"/>
      <c r="K67" s="8"/>
    </row>
    <row r="68" spans="2:11" ht="15" customHeight="1" x14ac:dyDescent="0.4">
      <c r="B68" s="329" t="s">
        <v>57</v>
      </c>
      <c r="C68" s="444">
        <v>25</v>
      </c>
      <c r="D68" s="277"/>
      <c r="E68" s="277"/>
      <c r="F68" s="445">
        <v>1000</v>
      </c>
      <c r="G68" s="41"/>
      <c r="H68" s="41"/>
      <c r="I68" s="8"/>
      <c r="J68" s="201"/>
      <c r="K68" s="8"/>
    </row>
    <row r="69" spans="2:11" ht="15" hidden="1" customHeight="1" x14ac:dyDescent="0.4">
      <c r="B69" s="440"/>
      <c r="C69" s="441"/>
      <c r="D69" s="442"/>
      <c r="E69" s="442"/>
      <c r="F69" s="443"/>
      <c r="G69" s="41"/>
      <c r="H69" s="41"/>
      <c r="I69" s="8"/>
      <c r="J69" s="201"/>
      <c r="K69" s="8"/>
    </row>
    <row r="70" spans="2:11" ht="15" hidden="1" customHeight="1" x14ac:dyDescent="0.4">
      <c r="B70" s="331"/>
      <c r="C70" s="331"/>
      <c r="D70" s="326"/>
      <c r="E70" s="326"/>
      <c r="F70" s="402"/>
      <c r="G70" s="41"/>
      <c r="H70" s="41"/>
      <c r="I70" s="8"/>
      <c r="J70" s="201"/>
      <c r="K70" s="8"/>
    </row>
    <row r="71" spans="2:11" ht="8.15" customHeight="1" x14ac:dyDescent="0.4">
      <c r="B71" s="210"/>
      <c r="C71" s="211"/>
      <c r="D71" s="212" t="s">
        <v>245</v>
      </c>
      <c r="E71" s="212"/>
      <c r="F71" s="213"/>
      <c r="G71" s="10"/>
      <c r="H71" s="10"/>
      <c r="I71" s="21"/>
      <c r="J71" s="201"/>
      <c r="K71" s="10"/>
    </row>
    <row r="72" spans="2:11" ht="14.15" customHeight="1" thickBot="1" x14ac:dyDescent="0.45">
      <c r="B72" s="466" t="s">
        <v>296</v>
      </c>
      <c r="C72" s="467"/>
      <c r="D72" s="467"/>
      <c r="E72" s="214"/>
      <c r="F72" s="215">
        <f>SUM(F66:F70)</f>
        <v>3000</v>
      </c>
      <c r="G72" s="10"/>
      <c r="H72" s="10"/>
      <c r="I72" s="21"/>
      <c r="J72" s="203"/>
      <c r="K72" s="10"/>
    </row>
    <row r="73" spans="2:11" ht="15.45" x14ac:dyDescent="0.4">
      <c r="B73" s="26"/>
      <c r="C73" s="8"/>
      <c r="D73" s="8"/>
      <c r="E73" s="8"/>
      <c r="F73" s="8"/>
      <c r="G73" s="10"/>
      <c r="H73" s="10"/>
      <c r="I73" s="27"/>
      <c r="J73" s="27"/>
      <c r="K73" s="10"/>
    </row>
    <row r="74" spans="2:11" ht="15.45" x14ac:dyDescent="0.4">
      <c r="B74" s="25"/>
      <c r="C74" s="8"/>
      <c r="D74" s="8"/>
      <c r="E74" s="8"/>
      <c r="F74" s="8"/>
      <c r="G74" s="41"/>
      <c r="H74" s="41"/>
      <c r="I74" s="21"/>
      <c r="J74" s="27"/>
      <c r="K74" s="10"/>
    </row>
    <row r="75" spans="2:11" ht="15.45" x14ac:dyDescent="0.4">
      <c r="B75" s="26"/>
      <c r="C75" s="8"/>
      <c r="D75" s="6"/>
      <c r="E75" s="6"/>
      <c r="F75" s="8"/>
      <c r="G75" s="10"/>
      <c r="H75" s="10"/>
      <c r="I75" s="10"/>
      <c r="J75" s="8"/>
      <c r="K75" s="10"/>
    </row>
    <row r="76" spans="2:11" ht="15.45" x14ac:dyDescent="0.4">
      <c r="F76" s="8"/>
      <c r="I76" s="27"/>
    </row>
  </sheetData>
  <mergeCells count="9">
    <mergeCell ref="B65:E65"/>
    <mergeCell ref="B72:D72"/>
    <mergeCell ref="B7:L7"/>
    <mergeCell ref="F9:J9"/>
    <mergeCell ref="G11:G12"/>
    <mergeCell ref="H11:H12"/>
    <mergeCell ref="I11:I12"/>
    <mergeCell ref="J11:K11"/>
    <mergeCell ref="L11:L12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B315D9-8FD9-430E-88B2-28F16697E50E}">
  <dimension ref="B1:S96"/>
  <sheetViews>
    <sheetView topLeftCell="A56" workbookViewId="0">
      <selection activeCell="M77" sqref="M77:M80"/>
    </sheetView>
  </sheetViews>
  <sheetFormatPr defaultRowHeight="14.6" x14ac:dyDescent="0.4"/>
  <cols>
    <col min="1" max="1" width="2.07421875" customWidth="1"/>
    <col min="2" max="2" width="1.3046875" customWidth="1"/>
    <col min="3" max="3" width="14.3046875" customWidth="1"/>
    <col min="4" max="4" width="0.53515625" customWidth="1"/>
    <col min="5" max="5" width="12.3046875" customWidth="1"/>
    <col min="6" max="6" width="1.4609375" customWidth="1"/>
    <col min="7" max="7" width="12" customWidth="1"/>
    <col min="8" max="8" width="19.07421875" customWidth="1"/>
    <col min="9" max="9" width="16.53515625" customWidth="1"/>
    <col min="10" max="10" width="21.84375" customWidth="1"/>
    <col min="11" max="11" width="16.07421875" customWidth="1"/>
    <col min="12" max="12" width="3" customWidth="1"/>
    <col min="13" max="13" width="18.3046875" customWidth="1"/>
    <col min="14" max="14" width="1" customWidth="1"/>
    <col min="15" max="15" width="12.84375" customWidth="1"/>
    <col min="16" max="16" width="10.07421875" bestFit="1" customWidth="1"/>
    <col min="17" max="17" width="11.4609375" customWidth="1"/>
  </cols>
  <sheetData>
    <row r="1" spans="3:15" ht="6" customHeight="1" x14ac:dyDescent="0.4"/>
    <row r="2" spans="3:15" ht="6" customHeight="1" x14ac:dyDescent="0.4"/>
    <row r="3" spans="3:15" ht="6" customHeight="1" x14ac:dyDescent="0.4"/>
    <row r="4" spans="3:15" ht="20.149999999999999" customHeight="1" x14ac:dyDescent="0.4">
      <c r="C4" s="476" t="s">
        <v>0</v>
      </c>
      <c r="D4" s="476"/>
      <c r="E4" s="476"/>
      <c r="F4" s="476"/>
      <c r="G4" s="476"/>
      <c r="H4" s="476"/>
      <c r="I4" s="476"/>
      <c r="J4" s="476"/>
      <c r="K4" s="476"/>
      <c r="L4" s="476"/>
      <c r="M4" s="476"/>
      <c r="N4" s="476"/>
    </row>
    <row r="5" spans="3:15" ht="20.149999999999999" customHeight="1" x14ac:dyDescent="0.45">
      <c r="C5" s="492" t="s">
        <v>333</v>
      </c>
      <c r="D5" s="492"/>
      <c r="E5" s="492"/>
      <c r="F5" s="492"/>
      <c r="G5" s="492"/>
      <c r="H5" s="492"/>
      <c r="I5" s="492"/>
      <c r="J5" s="492"/>
      <c r="K5" s="492"/>
      <c r="L5" s="492"/>
      <c r="M5" s="492"/>
      <c r="N5" s="243"/>
    </row>
    <row r="6" spans="3:15" ht="20.149999999999999" customHeight="1" x14ac:dyDescent="0.45">
      <c r="C6" s="492" t="s">
        <v>245</v>
      </c>
      <c r="D6" s="492"/>
      <c r="E6" s="492"/>
      <c r="F6" s="492"/>
      <c r="G6" s="492"/>
      <c r="H6" s="492"/>
      <c r="I6" s="492"/>
      <c r="J6" s="492"/>
      <c r="K6" s="492"/>
      <c r="L6" s="492"/>
      <c r="M6" s="492"/>
      <c r="N6" s="243"/>
    </row>
    <row r="7" spans="3:15" ht="20.149999999999999" customHeight="1" x14ac:dyDescent="0.45">
      <c r="C7" s="476" t="s">
        <v>318</v>
      </c>
      <c r="D7" s="476"/>
      <c r="E7" s="476"/>
      <c r="F7" s="476"/>
      <c r="G7" s="476"/>
      <c r="H7" s="476"/>
      <c r="I7" s="476"/>
      <c r="J7" s="476"/>
      <c r="K7" s="476"/>
      <c r="L7" s="476"/>
      <c r="M7" s="476"/>
      <c r="N7" s="243"/>
    </row>
    <row r="8" spans="3:15" ht="20.149999999999999" customHeight="1" x14ac:dyDescent="0.45">
      <c r="C8" s="476" t="s">
        <v>893</v>
      </c>
      <c r="D8" s="476"/>
      <c r="E8" s="476"/>
      <c r="F8" s="476"/>
      <c r="G8" s="476"/>
      <c r="H8" s="476"/>
      <c r="I8" s="476"/>
      <c r="J8" s="476"/>
      <c r="K8" s="476"/>
      <c r="L8" s="476"/>
      <c r="M8" s="476"/>
      <c r="N8" s="221"/>
    </row>
    <row r="9" spans="3:15" ht="15" customHeight="1" x14ac:dyDescent="0.4"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</row>
    <row r="10" spans="3:15" ht="15" customHeight="1" x14ac:dyDescent="0.45">
      <c r="C10" s="220" t="s">
        <v>894</v>
      </c>
      <c r="D10" s="221"/>
      <c r="E10" s="221"/>
      <c r="F10" s="221"/>
      <c r="G10" s="221"/>
      <c r="H10" s="221"/>
      <c r="I10" s="221"/>
      <c r="J10" s="221"/>
      <c r="K10" s="221"/>
      <c r="L10" s="247" t="s">
        <v>326</v>
      </c>
      <c r="M10" s="219">
        <v>4150.6500000000087</v>
      </c>
      <c r="N10" s="8"/>
      <c r="O10" s="135" t="s">
        <v>245</v>
      </c>
    </row>
    <row r="11" spans="3:15" ht="15" customHeight="1" x14ac:dyDescent="0.45">
      <c r="C11" s="221"/>
      <c r="D11" s="221"/>
      <c r="E11" s="221"/>
      <c r="F11" s="221"/>
      <c r="G11" s="221"/>
      <c r="H11" s="221"/>
      <c r="I11" s="221"/>
      <c r="J11" s="221"/>
      <c r="K11" s="221"/>
      <c r="L11" s="8"/>
      <c r="M11" s="8"/>
      <c r="N11" s="8"/>
    </row>
    <row r="12" spans="3:15" ht="15" customHeight="1" x14ac:dyDescent="0.45">
      <c r="C12" s="220" t="s">
        <v>895</v>
      </c>
      <c r="D12" s="220"/>
      <c r="E12" s="221"/>
      <c r="F12" s="221"/>
      <c r="G12" s="221"/>
      <c r="H12" s="221"/>
      <c r="I12" s="221"/>
      <c r="J12" s="221"/>
      <c r="K12" s="221"/>
      <c r="L12" s="8"/>
      <c r="M12" s="8"/>
      <c r="N12" s="8"/>
    </row>
    <row r="13" spans="3:15" ht="15" customHeight="1" x14ac:dyDescent="0.45">
      <c r="C13" s="221"/>
      <c r="D13" s="221"/>
      <c r="E13" s="221"/>
      <c r="F13" s="221"/>
      <c r="G13" s="221"/>
      <c r="H13" s="221"/>
      <c r="I13" s="226" t="s">
        <v>245</v>
      </c>
      <c r="J13" s="226"/>
      <c r="K13" s="226" t="s">
        <v>245</v>
      </c>
      <c r="L13" s="19"/>
      <c r="M13" s="8"/>
      <c r="N13" s="8"/>
    </row>
    <row r="14" spans="3:15" ht="15" customHeight="1" x14ac:dyDescent="0.45">
      <c r="C14" s="476" t="s">
        <v>305</v>
      </c>
      <c r="D14" s="476"/>
      <c r="E14" s="476"/>
      <c r="F14" s="221"/>
      <c r="G14" s="221" t="s">
        <v>320</v>
      </c>
      <c r="H14" s="221"/>
      <c r="I14" s="226"/>
      <c r="J14" s="226"/>
      <c r="K14" s="226"/>
      <c r="L14" s="19"/>
      <c r="M14" s="8"/>
      <c r="N14" s="8"/>
    </row>
    <row r="15" spans="3:15" ht="15" customHeight="1" x14ac:dyDescent="0.45">
      <c r="C15" s="238"/>
      <c r="D15" s="238"/>
      <c r="E15" s="238"/>
      <c r="F15" s="221"/>
      <c r="G15" s="221"/>
      <c r="H15" s="221"/>
      <c r="I15" s="226"/>
      <c r="J15" s="226"/>
      <c r="K15" s="226"/>
      <c r="L15" s="19"/>
      <c r="M15" s="8"/>
      <c r="N15" s="8"/>
    </row>
    <row r="16" spans="3:15" ht="15" customHeight="1" x14ac:dyDescent="0.45">
      <c r="C16" s="476" t="s">
        <v>245</v>
      </c>
      <c r="D16" s="476"/>
      <c r="E16" s="476"/>
      <c r="F16" s="221"/>
      <c r="G16" s="221"/>
      <c r="H16" s="239" t="s">
        <v>316</v>
      </c>
      <c r="I16" s="239" t="s">
        <v>2</v>
      </c>
      <c r="J16" s="239" t="s">
        <v>407</v>
      </c>
      <c r="K16" s="239" t="s">
        <v>306</v>
      </c>
      <c r="L16" s="19"/>
      <c r="M16" s="8"/>
      <c r="N16" s="8"/>
    </row>
    <row r="17" spans="3:16" ht="15" customHeight="1" x14ac:dyDescent="0.45">
      <c r="C17" s="221"/>
      <c r="D17" s="221"/>
      <c r="E17" s="226" t="s">
        <v>245</v>
      </c>
      <c r="F17" s="226"/>
      <c r="G17" s="240" t="s">
        <v>245</v>
      </c>
      <c r="H17" s="222" t="s">
        <v>245</v>
      </c>
      <c r="I17" s="241" t="s">
        <v>245</v>
      </c>
      <c r="J17" s="241"/>
      <c r="K17" s="230" t="s">
        <v>245</v>
      </c>
      <c r="L17" s="201"/>
      <c r="M17" s="8"/>
      <c r="N17" s="8"/>
    </row>
    <row r="18" spans="3:16" ht="20.149999999999999" customHeight="1" x14ac:dyDescent="0.45">
      <c r="C18" s="221"/>
      <c r="D18" s="221"/>
      <c r="E18" s="226" t="s">
        <v>59</v>
      </c>
      <c r="F18" s="226"/>
      <c r="G18" s="240" t="s">
        <v>154</v>
      </c>
      <c r="H18" s="222">
        <v>1603</v>
      </c>
      <c r="I18" s="222">
        <v>600</v>
      </c>
      <c r="J18" s="222">
        <v>0</v>
      </c>
      <c r="K18" s="222">
        <f>H18-I18-J18</f>
        <v>1003</v>
      </c>
      <c r="L18" s="216"/>
      <c r="M18" s="8"/>
      <c r="N18" s="8"/>
    </row>
    <row r="19" spans="3:16" ht="20.149999999999999" customHeight="1" x14ac:dyDescent="0.45">
      <c r="C19" s="221"/>
      <c r="D19" s="221"/>
      <c r="E19" s="226" t="s">
        <v>59</v>
      </c>
      <c r="F19" s="226"/>
      <c r="G19" s="240" t="s">
        <v>16</v>
      </c>
      <c r="H19" s="222">
        <v>1316</v>
      </c>
      <c r="I19" s="222">
        <v>400</v>
      </c>
      <c r="J19" s="222"/>
      <c r="K19" s="222">
        <f t="shared" ref="K19:K21" si="0">H19-I19-J19</f>
        <v>916</v>
      </c>
      <c r="L19" s="216"/>
      <c r="M19" s="8"/>
      <c r="N19" s="8"/>
    </row>
    <row r="20" spans="3:16" ht="20.149999999999999" customHeight="1" x14ac:dyDescent="0.45">
      <c r="C20" s="221"/>
      <c r="D20" s="221"/>
      <c r="E20" s="226" t="s">
        <v>59</v>
      </c>
      <c r="F20" s="226"/>
      <c r="G20" s="240" t="s">
        <v>150</v>
      </c>
      <c r="H20" s="222">
        <v>1530</v>
      </c>
      <c r="I20" s="222">
        <v>300</v>
      </c>
      <c r="J20" s="222"/>
      <c r="K20" s="222">
        <f t="shared" si="0"/>
        <v>1230</v>
      </c>
      <c r="L20" s="216"/>
      <c r="M20" s="8"/>
      <c r="N20" s="8"/>
    </row>
    <row r="21" spans="3:16" ht="20.149999999999999" customHeight="1" x14ac:dyDescent="0.45">
      <c r="C21" s="221"/>
      <c r="D21" s="221"/>
      <c r="E21" s="226" t="s">
        <v>59</v>
      </c>
      <c r="F21" s="226"/>
      <c r="G21" s="240" t="s">
        <v>11</v>
      </c>
      <c r="H21" s="222">
        <v>1162</v>
      </c>
      <c r="I21" s="222">
        <v>150</v>
      </c>
      <c r="J21" s="222">
        <v>0</v>
      </c>
      <c r="K21" s="222">
        <f t="shared" si="0"/>
        <v>1012</v>
      </c>
      <c r="L21" s="216"/>
      <c r="M21" s="8"/>
      <c r="N21" s="8"/>
      <c r="O21" t="s">
        <v>245</v>
      </c>
      <c r="P21" t="s">
        <v>245</v>
      </c>
    </row>
    <row r="22" spans="3:16" ht="20.149999999999999" customHeight="1" x14ac:dyDescent="0.75">
      <c r="C22" s="221"/>
      <c r="D22" s="221"/>
      <c r="E22" s="226" t="s">
        <v>59</v>
      </c>
      <c r="F22" s="226"/>
      <c r="G22" s="240">
        <v>29</v>
      </c>
      <c r="H22" s="266">
        <v>1758</v>
      </c>
      <c r="I22" s="266">
        <v>0</v>
      </c>
      <c r="J22" s="266">
        <v>0</v>
      </c>
      <c r="K22" s="266">
        <f t="shared" ref="K22:K29" si="1">H22-I22-J22</f>
        <v>1758</v>
      </c>
      <c r="L22" s="216"/>
      <c r="M22" s="8"/>
      <c r="N22" s="8"/>
    </row>
    <row r="23" spans="3:16" ht="20.149999999999999" hidden="1" customHeight="1" x14ac:dyDescent="0.45">
      <c r="C23" s="221"/>
      <c r="D23" s="221"/>
      <c r="E23" s="226"/>
      <c r="F23" s="226"/>
      <c r="G23" s="240"/>
      <c r="H23" s="222"/>
      <c r="I23" s="222"/>
      <c r="J23" s="222"/>
      <c r="K23" s="222"/>
      <c r="L23" s="216"/>
      <c r="M23" s="8"/>
      <c r="N23" s="8"/>
    </row>
    <row r="24" spans="3:16" ht="20.149999999999999" hidden="1" customHeight="1" x14ac:dyDescent="0.45">
      <c r="C24" s="221"/>
      <c r="D24" s="221"/>
      <c r="E24" s="226"/>
      <c r="F24" s="226"/>
      <c r="G24" s="240"/>
      <c r="H24" s="222"/>
      <c r="I24" s="222"/>
      <c r="J24" s="222"/>
      <c r="K24" s="222"/>
      <c r="L24" s="216"/>
      <c r="M24" s="8"/>
      <c r="N24" s="8"/>
    </row>
    <row r="25" spans="3:16" ht="20.149999999999999" hidden="1" customHeight="1" x14ac:dyDescent="0.45">
      <c r="C25" s="221"/>
      <c r="D25" s="221"/>
      <c r="E25" s="226"/>
      <c r="F25" s="226"/>
      <c r="G25" s="240"/>
      <c r="H25" s="222"/>
      <c r="I25" s="222"/>
      <c r="J25" s="222"/>
      <c r="K25" s="222"/>
      <c r="L25" s="216"/>
      <c r="M25" s="8"/>
      <c r="N25" s="8"/>
    </row>
    <row r="26" spans="3:16" ht="20.149999999999999" hidden="1" customHeight="1" x14ac:dyDescent="0.45">
      <c r="C26" s="221"/>
      <c r="D26" s="221"/>
      <c r="E26" s="226"/>
      <c r="F26" s="226"/>
      <c r="G26" s="240"/>
      <c r="H26" s="222"/>
      <c r="I26" s="222"/>
      <c r="J26" s="222"/>
      <c r="K26" s="222"/>
      <c r="L26" s="216"/>
      <c r="M26" s="8"/>
      <c r="N26" s="8"/>
    </row>
    <row r="27" spans="3:16" ht="20.149999999999999" hidden="1" customHeight="1" x14ac:dyDescent="0.45">
      <c r="C27" s="221"/>
      <c r="D27" s="221"/>
      <c r="E27" s="226"/>
      <c r="F27" s="226"/>
      <c r="G27" s="240"/>
      <c r="H27" s="222"/>
      <c r="I27" s="222"/>
      <c r="J27" s="222"/>
      <c r="K27" s="222"/>
      <c r="L27" s="216"/>
      <c r="M27" s="8"/>
      <c r="N27" s="8"/>
    </row>
    <row r="28" spans="3:16" ht="20.149999999999999" hidden="1" customHeight="1" x14ac:dyDescent="0.45">
      <c r="C28" s="221"/>
      <c r="D28" s="221"/>
      <c r="E28" s="226" t="s">
        <v>245</v>
      </c>
      <c r="F28" s="226"/>
      <c r="G28" s="240" t="s">
        <v>245</v>
      </c>
      <c r="H28" s="222">
        <v>0</v>
      </c>
      <c r="I28" s="222">
        <v>0</v>
      </c>
      <c r="J28" s="222">
        <v>0</v>
      </c>
      <c r="K28" s="222">
        <f t="shared" ref="K28" si="2">H28-I28-J28</f>
        <v>0</v>
      </c>
      <c r="L28" s="216"/>
      <c r="M28" s="8"/>
      <c r="N28" s="8"/>
    </row>
    <row r="29" spans="3:16" ht="20.149999999999999" hidden="1" customHeight="1" x14ac:dyDescent="0.75">
      <c r="C29" s="221"/>
      <c r="D29" s="221"/>
      <c r="E29" s="226" t="s">
        <v>245</v>
      </c>
      <c r="F29" s="226"/>
      <c r="G29" s="240" t="s">
        <v>245</v>
      </c>
      <c r="H29" s="265">
        <v>0</v>
      </c>
      <c r="I29" s="266">
        <v>0</v>
      </c>
      <c r="J29" s="266">
        <v>0</v>
      </c>
      <c r="K29" s="266">
        <f t="shared" si="1"/>
        <v>0</v>
      </c>
      <c r="L29" s="216"/>
      <c r="M29" s="8"/>
      <c r="N29" s="8"/>
      <c r="O29" s="272"/>
    </row>
    <row r="30" spans="3:16" ht="20.149999999999999" hidden="1" customHeight="1" x14ac:dyDescent="0.45">
      <c r="C30" s="221"/>
      <c r="D30" s="221"/>
      <c r="E30" s="336" t="s">
        <v>67</v>
      </c>
      <c r="F30" s="226"/>
      <c r="G30" s="240">
        <v>18</v>
      </c>
      <c r="H30" s="337">
        <v>0</v>
      </c>
      <c r="I30" s="222">
        <v>0</v>
      </c>
      <c r="J30" s="222">
        <v>0</v>
      </c>
      <c r="K30" s="222">
        <f>H30-I30</f>
        <v>0</v>
      </c>
      <c r="L30" s="216"/>
      <c r="M30" s="8"/>
      <c r="N30" s="8"/>
      <c r="O30" s="272"/>
    </row>
    <row r="31" spans="3:16" ht="20.149999999999999" hidden="1" customHeight="1" x14ac:dyDescent="0.45">
      <c r="C31" s="221"/>
      <c r="D31" s="221"/>
      <c r="E31" s="336" t="s">
        <v>67</v>
      </c>
      <c r="F31" s="226"/>
      <c r="G31" s="240">
        <v>19</v>
      </c>
      <c r="H31" s="337">
        <v>0</v>
      </c>
      <c r="I31" s="222">
        <v>0</v>
      </c>
      <c r="J31" s="222">
        <v>0</v>
      </c>
      <c r="K31" s="222">
        <f>H31-I31</f>
        <v>0</v>
      </c>
      <c r="L31" s="216"/>
      <c r="M31" s="8"/>
      <c r="N31" s="8"/>
      <c r="O31" s="272"/>
    </row>
    <row r="32" spans="3:16" ht="20.149999999999999" hidden="1" customHeight="1" x14ac:dyDescent="0.45">
      <c r="C32" s="221"/>
      <c r="D32" s="221"/>
      <c r="E32" s="226" t="s">
        <v>67</v>
      </c>
      <c r="F32" s="226"/>
      <c r="G32" s="240">
        <v>20</v>
      </c>
      <c r="H32" s="223">
        <v>0</v>
      </c>
      <c r="I32" s="222">
        <v>0</v>
      </c>
      <c r="J32" s="222">
        <v>0</v>
      </c>
      <c r="K32" s="222">
        <f>H32-I32</f>
        <v>0</v>
      </c>
      <c r="L32" s="216"/>
      <c r="M32" s="8"/>
      <c r="N32" s="8"/>
    </row>
    <row r="33" spans="3:16" ht="20.149999999999999" hidden="1" customHeight="1" x14ac:dyDescent="0.75">
      <c r="C33" s="221"/>
      <c r="D33" s="221"/>
      <c r="E33" s="226" t="s">
        <v>67</v>
      </c>
      <c r="F33" s="226"/>
      <c r="G33" s="240">
        <v>27</v>
      </c>
      <c r="H33" s="265">
        <v>0</v>
      </c>
      <c r="I33" s="266">
        <v>0</v>
      </c>
      <c r="J33" s="266">
        <v>0</v>
      </c>
      <c r="K33" s="266">
        <f>H33-I33</f>
        <v>0</v>
      </c>
      <c r="L33" s="216"/>
      <c r="M33" s="44" t="s">
        <v>245</v>
      </c>
      <c r="N33" s="8"/>
      <c r="O33" t="s">
        <v>355</v>
      </c>
    </row>
    <row r="34" spans="3:16" ht="15" customHeight="1" x14ac:dyDescent="0.45">
      <c r="C34" s="221"/>
      <c r="D34" s="221"/>
      <c r="E34" s="226"/>
      <c r="F34" s="226"/>
      <c r="G34" s="240"/>
      <c r="H34" s="223"/>
      <c r="I34" s="222"/>
      <c r="J34" s="222"/>
      <c r="K34" s="222"/>
      <c r="L34" s="216"/>
      <c r="M34" s="44"/>
      <c r="N34" s="8"/>
    </row>
    <row r="35" spans="3:16" ht="15" customHeight="1" x14ac:dyDescent="0.45">
      <c r="C35" s="221"/>
      <c r="D35" s="221"/>
      <c r="E35" s="238" t="s">
        <v>65</v>
      </c>
      <c r="F35" s="221"/>
      <c r="G35" s="226"/>
      <c r="H35" s="288">
        <f>SUM(H18:H33)</f>
        <v>7369</v>
      </c>
      <c r="I35" s="296">
        <f>SUM(I18:I33)</f>
        <v>1450</v>
      </c>
      <c r="J35" s="288">
        <f>SUM(J18:J33)</f>
        <v>0</v>
      </c>
      <c r="K35" s="248">
        <f>SUM(K18:K33)</f>
        <v>5919</v>
      </c>
      <c r="L35" s="218"/>
      <c r="M35" s="44" t="s">
        <v>245</v>
      </c>
      <c r="N35" s="8"/>
      <c r="O35" s="7">
        <f>K35-M57</f>
        <v>3257.1</v>
      </c>
      <c r="P35" s="135" t="s">
        <v>245</v>
      </c>
    </row>
    <row r="36" spans="3:16" ht="15" customHeight="1" x14ac:dyDescent="0.45">
      <c r="C36" s="221"/>
      <c r="D36" s="221"/>
      <c r="E36" s="221"/>
      <c r="F36" s="221"/>
      <c r="G36" s="226"/>
      <c r="H36" s="224"/>
      <c r="I36" s="222"/>
      <c r="J36" s="222"/>
      <c r="K36" s="222"/>
      <c r="L36" s="216"/>
      <c r="M36" s="44"/>
      <c r="N36" s="8"/>
    </row>
    <row r="37" spans="3:16" ht="15" customHeight="1" x14ac:dyDescent="0.45">
      <c r="C37" s="221"/>
      <c r="D37" s="221"/>
      <c r="E37" s="221"/>
      <c r="F37" s="221"/>
      <c r="G37" s="226"/>
      <c r="H37" s="224"/>
      <c r="I37" s="222"/>
      <c r="J37" s="222"/>
      <c r="K37" s="222"/>
      <c r="L37" s="216"/>
      <c r="M37" s="44"/>
      <c r="N37" s="8"/>
    </row>
    <row r="38" spans="3:16" ht="15" customHeight="1" x14ac:dyDescent="0.45">
      <c r="C38" s="220" t="s">
        <v>748</v>
      </c>
      <c r="D38" s="220"/>
      <c r="E38" s="220"/>
      <c r="F38" s="220"/>
      <c r="G38" s="220"/>
      <c r="H38" s="220"/>
      <c r="I38" s="220"/>
      <c r="J38" s="297"/>
      <c r="K38" s="219" t="s">
        <v>245</v>
      </c>
      <c r="L38" s="219"/>
      <c r="M38" s="225" t="s">
        <v>245</v>
      </c>
      <c r="N38" s="8"/>
    </row>
    <row r="39" spans="3:16" ht="15" customHeight="1" x14ac:dyDescent="0.45">
      <c r="C39" s="220"/>
      <c r="D39" s="221"/>
      <c r="E39" s="221"/>
      <c r="F39" s="221"/>
      <c r="G39" s="221"/>
      <c r="H39" s="226"/>
      <c r="I39" s="230"/>
      <c r="J39" s="230"/>
      <c r="K39" s="219"/>
      <c r="L39" s="219"/>
      <c r="M39" s="225"/>
      <c r="N39" s="8"/>
    </row>
    <row r="40" spans="3:16" ht="22.95" customHeight="1" x14ac:dyDescent="0.85">
      <c r="C40" s="220"/>
      <c r="D40" s="221"/>
      <c r="E40" s="220" t="s">
        <v>674</v>
      </c>
      <c r="F40" s="220"/>
      <c r="G40" s="220"/>
      <c r="H40" s="220"/>
      <c r="I40" s="230"/>
      <c r="J40" s="230"/>
      <c r="K40" s="446">
        <v>0</v>
      </c>
      <c r="L40" s="219"/>
      <c r="M40" s="447">
        <f>SUM(K33:K40)</f>
        <v>5919</v>
      </c>
      <c r="N40" s="8"/>
      <c r="O40" s="304"/>
      <c r="P40" s="135"/>
    </row>
    <row r="41" spans="3:16" ht="15" customHeight="1" x14ac:dyDescent="0.75">
      <c r="C41" s="242"/>
      <c r="D41" s="236"/>
      <c r="E41" s="243"/>
      <c r="F41" s="236"/>
      <c r="G41" s="226"/>
      <c r="H41" s="226"/>
      <c r="I41" s="226"/>
      <c r="J41" s="226"/>
      <c r="K41" s="222"/>
      <c r="L41" s="222"/>
      <c r="M41" s="244"/>
      <c r="N41" s="8"/>
    </row>
    <row r="42" spans="3:16" ht="20.149999999999999" hidden="1" customHeight="1" x14ac:dyDescent="0.85">
      <c r="C42" s="220" t="s">
        <v>854</v>
      </c>
      <c r="D42" s="220"/>
      <c r="E42" s="221"/>
      <c r="F42" s="221"/>
      <c r="G42" s="221"/>
      <c r="H42" s="221"/>
      <c r="I42" s="221"/>
      <c r="J42" s="221"/>
      <c r="K42" s="446">
        <v>0</v>
      </c>
      <c r="L42" s="221"/>
      <c r="M42" s="447">
        <f>SUM(K35:K42)</f>
        <v>5919</v>
      </c>
      <c r="N42" s="8"/>
      <c r="P42" s="135"/>
    </row>
    <row r="43" spans="3:16" ht="18" customHeight="1" x14ac:dyDescent="0.45">
      <c r="C43" s="220"/>
      <c r="D43" s="220"/>
      <c r="E43" s="505" t="s">
        <v>245</v>
      </c>
      <c r="F43" s="505"/>
      <c r="G43" s="505"/>
      <c r="H43" s="221"/>
      <c r="I43" s="221"/>
      <c r="J43" s="221"/>
      <c r="K43" s="355" t="s">
        <v>245</v>
      </c>
      <c r="L43" s="221"/>
      <c r="M43" s="353"/>
      <c r="N43" s="8"/>
      <c r="P43" s="135"/>
    </row>
    <row r="44" spans="3:16" ht="20.149999999999999" customHeight="1" x14ac:dyDescent="0.45">
      <c r="C44" s="220" t="s">
        <v>313</v>
      </c>
      <c r="D44" s="220"/>
      <c r="E44" s="221"/>
      <c r="F44" s="221"/>
      <c r="G44" s="221"/>
      <c r="H44" s="221"/>
      <c r="I44" s="221"/>
      <c r="J44" s="221"/>
      <c r="K44" s="221"/>
      <c r="L44" s="247" t="s">
        <v>326</v>
      </c>
      <c r="M44" s="219">
        <f>M10+M40</f>
        <v>10069.650000000009</v>
      </c>
      <c r="N44" s="8"/>
      <c r="O44" t="s">
        <v>245</v>
      </c>
    </row>
    <row r="45" spans="3:16" ht="13.5" customHeight="1" x14ac:dyDescent="0.45">
      <c r="C45" s="220"/>
      <c r="D45" s="220"/>
      <c r="E45" s="221"/>
      <c r="F45" s="221"/>
      <c r="G45" s="221"/>
      <c r="H45" s="221"/>
      <c r="I45" s="221"/>
      <c r="J45" s="221"/>
      <c r="K45" s="221"/>
      <c r="L45" s="221"/>
      <c r="M45" s="221"/>
      <c r="N45" s="8"/>
    </row>
    <row r="46" spans="3:16" ht="13.5" customHeight="1" x14ac:dyDescent="0.45">
      <c r="C46" s="220"/>
      <c r="D46" s="220"/>
      <c r="E46" s="221"/>
      <c r="F46" s="221"/>
      <c r="G46" s="221"/>
      <c r="H46" s="221"/>
      <c r="I46" s="221"/>
      <c r="J46" s="221"/>
      <c r="K46" s="221"/>
      <c r="L46" s="221"/>
      <c r="M46" s="221"/>
      <c r="N46" s="8"/>
    </row>
    <row r="47" spans="3:16" ht="13.5" customHeight="1" x14ac:dyDescent="0.45">
      <c r="C47" s="220" t="s">
        <v>896</v>
      </c>
      <c r="D47" s="220"/>
      <c r="E47" s="221"/>
      <c r="F47" s="221"/>
      <c r="G47" s="221"/>
      <c r="H47" s="221"/>
      <c r="I47" s="221"/>
      <c r="J47" s="221"/>
      <c r="K47" s="221"/>
      <c r="L47" s="221"/>
      <c r="M47" s="221"/>
      <c r="N47" s="8"/>
    </row>
    <row r="48" spans="3:16" ht="15" customHeight="1" x14ac:dyDescent="0.45">
      <c r="C48" s="221" t="s">
        <v>245</v>
      </c>
      <c r="D48" s="221"/>
      <c r="E48" s="221" t="s">
        <v>245</v>
      </c>
      <c r="F48" s="221"/>
      <c r="G48" s="221"/>
      <c r="H48" s="221"/>
      <c r="I48" s="221"/>
      <c r="J48" s="221"/>
      <c r="K48" s="221"/>
      <c r="L48" s="221"/>
      <c r="M48" s="221"/>
      <c r="N48" s="8"/>
    </row>
    <row r="49" spans="3:14" ht="15" customHeight="1" x14ac:dyDescent="0.45">
      <c r="C49" s="239" t="s">
        <v>5</v>
      </c>
      <c r="D49" s="226"/>
      <c r="E49" s="226" t="s">
        <v>257</v>
      </c>
      <c r="F49" s="226"/>
      <c r="G49" s="487" t="s">
        <v>373</v>
      </c>
      <c r="H49" s="487"/>
      <c r="I49" s="487"/>
      <c r="J49" s="236"/>
      <c r="K49" s="236" t="s">
        <v>123</v>
      </c>
      <c r="L49" s="221"/>
      <c r="M49" s="226" t="s">
        <v>245</v>
      </c>
      <c r="N49" s="19"/>
    </row>
    <row r="50" spans="3:14" ht="15" customHeight="1" x14ac:dyDescent="0.45">
      <c r="C50" s="226"/>
      <c r="D50" s="226"/>
      <c r="E50" s="226"/>
      <c r="F50" s="226"/>
      <c r="G50" s="221"/>
      <c r="H50" s="221"/>
      <c r="I50" s="221"/>
      <c r="J50" s="221"/>
      <c r="K50" s="221"/>
      <c r="L50" s="221"/>
      <c r="M50" s="226"/>
      <c r="N50" s="19"/>
    </row>
    <row r="51" spans="3:14" ht="20.149999999999999" customHeight="1" x14ac:dyDescent="0.45">
      <c r="C51" s="292" t="s">
        <v>902</v>
      </c>
      <c r="D51" s="226"/>
      <c r="E51" s="226"/>
      <c r="F51" s="226"/>
      <c r="G51" s="228" t="s">
        <v>904</v>
      </c>
      <c r="H51" s="221"/>
      <c r="I51" s="221"/>
      <c r="J51" s="221"/>
      <c r="K51" s="222">
        <v>750</v>
      </c>
      <c r="L51" s="221"/>
      <c r="M51" s="226"/>
      <c r="N51" s="19"/>
    </row>
    <row r="52" spans="3:14" ht="20.149999999999999" hidden="1" customHeight="1" x14ac:dyDescent="0.45">
      <c r="C52" s="292"/>
      <c r="D52" s="226"/>
      <c r="E52" s="226"/>
      <c r="F52" s="226"/>
      <c r="G52" s="228"/>
      <c r="H52" s="221" t="s">
        <v>796</v>
      </c>
      <c r="I52" s="221"/>
      <c r="J52" s="221"/>
      <c r="K52" s="222"/>
      <c r="L52" s="221"/>
      <c r="M52" s="226"/>
      <c r="N52" s="19"/>
    </row>
    <row r="53" spans="3:14" ht="20.149999999999999" customHeight="1" x14ac:dyDescent="0.45">
      <c r="C53" s="292" t="s">
        <v>905</v>
      </c>
      <c r="D53" s="226"/>
      <c r="E53" s="226"/>
      <c r="F53" s="226"/>
      <c r="G53" s="228" t="s">
        <v>903</v>
      </c>
      <c r="H53" s="221"/>
      <c r="I53" s="221"/>
      <c r="J53" s="221"/>
      <c r="K53" s="222">
        <v>303.60000000000002</v>
      </c>
      <c r="L53" s="221"/>
      <c r="M53" s="226"/>
      <c r="N53" s="19"/>
    </row>
    <row r="54" spans="3:14" ht="20.149999999999999" hidden="1" customHeight="1" x14ac:dyDescent="0.45">
      <c r="C54" s="292" t="s">
        <v>897</v>
      </c>
      <c r="D54" s="226"/>
      <c r="E54" s="226"/>
      <c r="F54" s="226"/>
      <c r="G54" s="228"/>
      <c r="H54" s="221" t="s">
        <v>798</v>
      </c>
      <c r="I54" s="221"/>
      <c r="J54" s="221"/>
      <c r="K54" s="222"/>
      <c r="L54" s="221"/>
      <c r="M54" s="226"/>
      <c r="N54" s="19"/>
    </row>
    <row r="55" spans="3:14" ht="20.149999999999999" customHeight="1" x14ac:dyDescent="0.45">
      <c r="C55" s="292" t="s">
        <v>906</v>
      </c>
      <c r="D55" s="226"/>
      <c r="E55" s="226"/>
      <c r="F55" s="226"/>
      <c r="G55" s="286" t="s">
        <v>909</v>
      </c>
      <c r="H55" s="221"/>
      <c r="I55" s="221"/>
      <c r="J55" s="221"/>
      <c r="K55" s="222">
        <v>1000</v>
      </c>
      <c r="L55" s="221"/>
      <c r="M55" s="226"/>
      <c r="N55" s="19"/>
    </row>
    <row r="56" spans="3:14" ht="20.149999999999999" customHeight="1" x14ac:dyDescent="0.45">
      <c r="C56" s="292" t="s">
        <v>907</v>
      </c>
      <c r="D56" s="226"/>
      <c r="E56" s="226"/>
      <c r="F56" s="226"/>
      <c r="G56" s="286" t="s">
        <v>911</v>
      </c>
      <c r="H56" s="221"/>
      <c r="I56" s="221"/>
      <c r="J56" s="221"/>
      <c r="K56" s="222">
        <v>484.3</v>
      </c>
      <c r="L56" s="221"/>
      <c r="M56" s="226"/>
      <c r="N56" s="19"/>
    </row>
    <row r="57" spans="3:14" ht="20.149999999999999" customHeight="1" x14ac:dyDescent="0.85">
      <c r="C57" s="323" t="s">
        <v>908</v>
      </c>
      <c r="D57" s="226"/>
      <c r="E57" s="226"/>
      <c r="F57" s="226"/>
      <c r="G57" s="506" t="s">
        <v>910</v>
      </c>
      <c r="H57" s="506"/>
      <c r="I57" s="506"/>
      <c r="J57" s="506"/>
      <c r="K57" s="437">
        <v>124</v>
      </c>
      <c r="L57" s="221"/>
      <c r="M57" s="410">
        <f>SUM(K51:K57)</f>
        <v>2661.9</v>
      </c>
      <c r="N57" s="19"/>
    </row>
    <row r="58" spans="3:14" ht="20.149999999999999" hidden="1" customHeight="1" x14ac:dyDescent="0.45">
      <c r="C58" s="292"/>
      <c r="D58" s="226"/>
      <c r="E58" s="226"/>
      <c r="F58" s="226"/>
      <c r="G58" s="228"/>
      <c r="H58" s="221"/>
      <c r="I58" s="221"/>
      <c r="J58" s="221"/>
      <c r="K58" s="222">
        <v>0</v>
      </c>
      <c r="L58" s="221"/>
      <c r="M58" s="226"/>
      <c r="N58" s="19"/>
    </row>
    <row r="59" spans="3:14" ht="20.149999999999999" hidden="1" customHeight="1" x14ac:dyDescent="0.45">
      <c r="C59" s="292"/>
      <c r="D59" s="226"/>
      <c r="E59" s="226"/>
      <c r="F59" s="226"/>
      <c r="G59" s="228"/>
      <c r="H59" s="221"/>
      <c r="I59" s="221"/>
      <c r="J59" s="221"/>
      <c r="K59" s="222">
        <v>0</v>
      </c>
      <c r="L59" s="221"/>
      <c r="M59" s="226"/>
      <c r="N59" s="19"/>
    </row>
    <row r="60" spans="3:14" ht="20.149999999999999" hidden="1" customHeight="1" x14ac:dyDescent="0.45">
      <c r="C60" s="292"/>
      <c r="D60" s="226"/>
      <c r="E60" s="226"/>
      <c r="F60" s="226"/>
      <c r="G60" s="228"/>
      <c r="H60" s="221"/>
      <c r="I60" s="221"/>
      <c r="J60" s="221"/>
      <c r="K60" s="222">
        <v>0</v>
      </c>
      <c r="L60" s="221"/>
      <c r="M60" s="226"/>
      <c r="N60" s="19"/>
    </row>
    <row r="61" spans="3:14" ht="20.149999999999999" hidden="1" customHeight="1" x14ac:dyDescent="0.45">
      <c r="C61" s="292"/>
      <c r="D61" s="226"/>
      <c r="E61" s="226"/>
      <c r="F61" s="226"/>
      <c r="G61" s="228"/>
      <c r="H61" s="221"/>
      <c r="I61" s="221"/>
      <c r="J61" s="221"/>
      <c r="K61" s="222">
        <v>0</v>
      </c>
      <c r="L61" s="221"/>
      <c r="M61" s="226"/>
      <c r="N61" s="19"/>
    </row>
    <row r="62" spans="3:14" ht="20.149999999999999" hidden="1" customHeight="1" x14ac:dyDescent="0.45">
      <c r="C62" s="292"/>
      <c r="D62" s="226"/>
      <c r="E62" s="226"/>
      <c r="F62" s="226"/>
      <c r="G62" s="228"/>
      <c r="H62" s="221"/>
      <c r="I62" s="221"/>
      <c r="J62" s="221"/>
      <c r="K62" s="222">
        <v>0</v>
      </c>
      <c r="L62" s="221"/>
      <c r="M62" s="226"/>
      <c r="N62" s="19"/>
    </row>
    <row r="63" spans="3:14" ht="20.149999999999999" hidden="1" customHeight="1" x14ac:dyDescent="0.45">
      <c r="C63" s="292"/>
      <c r="D63" s="226"/>
      <c r="E63" s="226"/>
      <c r="F63" s="226"/>
      <c r="G63" s="286"/>
      <c r="H63" s="221"/>
      <c r="I63" s="221"/>
      <c r="J63" s="221"/>
      <c r="K63" s="222">
        <v>0</v>
      </c>
      <c r="L63" s="221"/>
      <c r="M63" s="226"/>
      <c r="N63" s="19"/>
    </row>
    <row r="64" spans="3:14" ht="20.149999999999999" hidden="1" customHeight="1" x14ac:dyDescent="0.45">
      <c r="C64" s="292"/>
      <c r="D64" s="226"/>
      <c r="E64" s="226"/>
      <c r="F64" s="226"/>
      <c r="G64" s="228"/>
      <c r="H64" s="221"/>
      <c r="I64" s="221"/>
      <c r="J64" s="221"/>
      <c r="K64" s="222">
        <v>0</v>
      </c>
      <c r="L64" s="221"/>
      <c r="M64" s="226"/>
      <c r="N64" s="19"/>
    </row>
    <row r="65" spans="2:19" ht="20.149999999999999" hidden="1" customHeight="1" x14ac:dyDescent="0.45">
      <c r="C65" s="292"/>
      <c r="D65" s="438"/>
      <c r="E65" s="438"/>
      <c r="F65" s="438"/>
      <c r="G65" s="286"/>
      <c r="H65" s="287"/>
      <c r="I65" s="287"/>
      <c r="J65" s="287"/>
      <c r="K65" s="437">
        <v>0</v>
      </c>
      <c r="L65" s="221"/>
      <c r="M65" s="226"/>
      <c r="N65" s="19"/>
    </row>
    <row r="66" spans="2:19" ht="20.149999999999999" hidden="1" customHeight="1" x14ac:dyDescent="0.45">
      <c r="C66" s="292"/>
      <c r="D66" s="226"/>
      <c r="E66" s="226"/>
      <c r="F66" s="226"/>
      <c r="G66" s="228"/>
      <c r="H66" s="449"/>
      <c r="I66" s="449"/>
      <c r="J66" s="449"/>
      <c r="K66" s="222">
        <v>0</v>
      </c>
      <c r="L66" s="221"/>
      <c r="M66" s="226"/>
      <c r="N66" s="19"/>
    </row>
    <row r="67" spans="2:19" ht="20.149999999999999" customHeight="1" x14ac:dyDescent="0.45">
      <c r="C67" s="292"/>
      <c r="D67" s="438"/>
      <c r="E67" s="438"/>
      <c r="F67" s="438"/>
      <c r="G67" s="286"/>
      <c r="H67" s="287"/>
      <c r="I67" s="287"/>
      <c r="J67" s="287"/>
      <c r="K67" s="437" t="s">
        <v>245</v>
      </c>
      <c r="L67" s="221"/>
      <c r="M67" s="450" t="s">
        <v>245</v>
      </c>
      <c r="N67" s="19"/>
    </row>
    <row r="68" spans="2:19" ht="20.149999999999999" customHeight="1" x14ac:dyDescent="0.45">
      <c r="C68" s="220" t="s">
        <v>327</v>
      </c>
      <c r="D68" s="220"/>
      <c r="E68" s="221"/>
      <c r="F68" s="221"/>
      <c r="G68" s="221"/>
      <c r="H68" s="221"/>
      <c r="I68" s="221"/>
      <c r="J68" s="221"/>
      <c r="K68" s="221"/>
      <c r="L68" s="221"/>
      <c r="M68" s="231">
        <f>M44-M57</f>
        <v>7407.7500000000091</v>
      </c>
      <c r="N68" s="44"/>
      <c r="O68" t="s">
        <v>245</v>
      </c>
      <c r="P68" s="7" t="s">
        <v>245</v>
      </c>
    </row>
    <row r="69" spans="2:19" ht="13.5" customHeight="1" x14ac:dyDescent="0.45">
      <c r="C69" s="221"/>
      <c r="D69" s="221"/>
      <c r="E69" s="221"/>
      <c r="F69" s="221"/>
      <c r="G69" s="221"/>
      <c r="H69" s="221"/>
      <c r="I69" s="221"/>
      <c r="J69" s="221"/>
      <c r="K69" s="221"/>
      <c r="L69" s="221"/>
      <c r="M69" s="225"/>
      <c r="N69" s="44"/>
    </row>
    <row r="70" spans="2:19" ht="20.149999999999999" customHeight="1" x14ac:dyDescent="0.45">
      <c r="C70" s="220" t="s">
        <v>898</v>
      </c>
      <c r="D70" s="221"/>
      <c r="E70" s="221"/>
      <c r="F70" s="221"/>
      <c r="G70" s="221"/>
      <c r="H70" s="221"/>
      <c r="I70" s="221"/>
      <c r="J70" s="221"/>
      <c r="K70" s="221"/>
      <c r="L70" s="221"/>
      <c r="M70" s="393">
        <v>0</v>
      </c>
      <c r="N70" s="44"/>
    </row>
    <row r="71" spans="2:19" ht="20.149999999999999" hidden="1" customHeight="1" x14ac:dyDescent="0.85">
      <c r="C71" s="220"/>
      <c r="D71" s="221"/>
      <c r="E71" s="505" t="s">
        <v>769</v>
      </c>
      <c r="F71" s="505"/>
      <c r="G71" s="505"/>
      <c r="H71" s="221"/>
      <c r="I71" s="221"/>
      <c r="J71" s="221"/>
      <c r="K71" s="411">
        <v>0</v>
      </c>
      <c r="L71" s="221"/>
      <c r="M71" s="264"/>
      <c r="N71" s="44"/>
    </row>
    <row r="72" spans="2:19" ht="20.149999999999999" hidden="1" customHeight="1" x14ac:dyDescent="0.85">
      <c r="C72" s="220"/>
      <c r="D72" s="221"/>
      <c r="E72" s="505" t="s">
        <v>769</v>
      </c>
      <c r="F72" s="505"/>
      <c r="G72" s="505"/>
      <c r="H72" s="221"/>
      <c r="I72" s="221"/>
      <c r="J72" s="221"/>
      <c r="K72" s="412">
        <v>0</v>
      </c>
      <c r="L72" s="221"/>
      <c r="M72" s="264">
        <f>SUM(K71:K72)</f>
        <v>0</v>
      </c>
      <c r="N72" s="44"/>
      <c r="O72">
        <v>12450</v>
      </c>
      <c r="P72" s="135">
        <f>K72-O72</f>
        <v>-12450</v>
      </c>
    </row>
    <row r="73" spans="2:19" ht="13.5" customHeight="1" x14ac:dyDescent="0.45">
      <c r="C73" s="221"/>
      <c r="D73" s="221"/>
      <c r="E73" s="221"/>
      <c r="F73" s="221"/>
      <c r="G73" s="221"/>
      <c r="H73" s="221"/>
      <c r="I73" s="221"/>
      <c r="J73" s="221"/>
      <c r="K73" s="221"/>
      <c r="L73" s="221"/>
      <c r="M73" s="225"/>
      <c r="N73" s="44"/>
    </row>
    <row r="74" spans="2:19" ht="24.45" customHeight="1" thickBot="1" x14ac:dyDescent="0.5">
      <c r="C74" s="220" t="s">
        <v>899</v>
      </c>
      <c r="D74" s="221"/>
      <c r="E74" s="221"/>
      <c r="F74" s="221"/>
      <c r="G74" s="221"/>
      <c r="H74" s="221"/>
      <c r="I74" s="221"/>
      <c r="J74" s="221"/>
      <c r="K74" s="221"/>
      <c r="L74" s="245" t="s">
        <v>326</v>
      </c>
      <c r="M74" s="232">
        <f>M68-M70</f>
        <v>7407.7500000000091</v>
      </c>
      <c r="N74" s="8"/>
      <c r="O74" s="2">
        <v>0</v>
      </c>
      <c r="P74" s="135" t="s">
        <v>245</v>
      </c>
      <c r="Q74" s="135" t="s">
        <v>245</v>
      </c>
      <c r="R74" s="135" t="s">
        <v>712</v>
      </c>
      <c r="S74" s="135"/>
    </row>
    <row r="75" spans="2:19" ht="13.5" customHeight="1" thickTop="1" x14ac:dyDescent="0.45">
      <c r="C75" s="221"/>
      <c r="D75" s="221"/>
      <c r="E75" s="220"/>
      <c r="F75" s="220"/>
      <c r="G75" s="221"/>
      <c r="H75" s="221"/>
      <c r="I75" s="221"/>
      <c r="J75" s="221"/>
      <c r="K75" s="221"/>
      <c r="L75" s="221"/>
      <c r="M75" s="221"/>
      <c r="N75" s="8"/>
      <c r="O75" s="270"/>
      <c r="P75" t="s">
        <v>245</v>
      </c>
      <c r="Q75" t="s">
        <v>245</v>
      </c>
    </row>
    <row r="76" spans="2:19" ht="13.5" customHeight="1" thickBot="1" x14ac:dyDescent="0.45">
      <c r="C76" s="8"/>
      <c r="D76" s="8"/>
      <c r="E76" s="13"/>
      <c r="F76" s="13"/>
      <c r="G76" s="8"/>
      <c r="H76" s="8"/>
      <c r="I76" s="8"/>
      <c r="J76" s="8"/>
      <c r="K76" s="8"/>
      <c r="L76" s="8"/>
      <c r="M76" s="8"/>
      <c r="N76" s="8"/>
      <c r="P76" t="s">
        <v>245</v>
      </c>
      <c r="Q76" t="s">
        <v>245</v>
      </c>
    </row>
    <row r="77" spans="2:19" ht="13.5" customHeight="1" x14ac:dyDescent="0.45">
      <c r="B77" s="251"/>
      <c r="C77" s="493" t="s">
        <v>881</v>
      </c>
      <c r="D77" s="493"/>
      <c r="E77" s="493"/>
      <c r="F77" s="493"/>
      <c r="G77" s="493"/>
      <c r="H77" s="493"/>
      <c r="I77" s="252"/>
      <c r="J77" s="252"/>
      <c r="K77" s="252"/>
      <c r="L77" s="483" t="s">
        <v>326</v>
      </c>
      <c r="M77" s="479">
        <v>33145.699999999997</v>
      </c>
      <c r="N77" s="253"/>
    </row>
    <row r="78" spans="2:19" ht="11.15" customHeight="1" x14ac:dyDescent="0.4">
      <c r="B78" s="254"/>
      <c r="C78" s="494"/>
      <c r="D78" s="494"/>
      <c r="E78" s="494"/>
      <c r="F78" s="494"/>
      <c r="G78" s="494"/>
      <c r="H78" s="494"/>
      <c r="I78" s="220"/>
      <c r="J78" s="220"/>
      <c r="K78" s="220"/>
      <c r="L78" s="484"/>
      <c r="M78" s="503"/>
      <c r="N78" s="255"/>
    </row>
    <row r="79" spans="2:19" ht="16.2" customHeight="1" x14ac:dyDescent="0.4">
      <c r="B79" s="256"/>
      <c r="C79" s="496" t="s">
        <v>790</v>
      </c>
      <c r="D79" s="496"/>
      <c r="E79" s="496"/>
      <c r="F79" s="496"/>
      <c r="G79" s="496"/>
      <c r="H79" s="496"/>
      <c r="I79" s="233"/>
      <c r="J79" s="233"/>
      <c r="K79" s="307" t="s">
        <v>245</v>
      </c>
      <c r="L79" s="233"/>
      <c r="M79" s="261">
        <v>0</v>
      </c>
      <c r="N79" s="174"/>
    </row>
    <row r="80" spans="2:19" ht="16.2" customHeight="1" thickBot="1" x14ac:dyDescent="0.5">
      <c r="B80" s="254"/>
      <c r="C80" s="497" t="s">
        <v>322</v>
      </c>
      <c r="D80" s="497"/>
      <c r="E80" s="497"/>
      <c r="F80" s="497"/>
      <c r="G80" s="497"/>
      <c r="H80" s="497"/>
      <c r="I80" s="302"/>
      <c r="J80" s="302"/>
      <c r="K80" s="303"/>
      <c r="L80" s="303"/>
      <c r="M80" s="261">
        <v>2.75</v>
      </c>
      <c r="N80" s="255"/>
    </row>
    <row r="81" spans="2:16" ht="16.2" hidden="1" customHeight="1" x14ac:dyDescent="0.45">
      <c r="B81" s="254"/>
      <c r="C81" s="496" t="s">
        <v>776</v>
      </c>
      <c r="D81" s="496"/>
      <c r="E81" s="496"/>
      <c r="F81" s="496"/>
      <c r="G81" s="496"/>
      <c r="H81" s="496"/>
      <c r="I81" s="221"/>
      <c r="J81" s="221"/>
      <c r="K81" s="230"/>
      <c r="L81" s="230"/>
      <c r="M81" s="262">
        <v>0</v>
      </c>
      <c r="N81" s="255"/>
    </row>
    <row r="82" spans="2:16" ht="13.5" customHeight="1" x14ac:dyDescent="0.4">
      <c r="B82" s="251"/>
      <c r="C82" s="498" t="s">
        <v>900</v>
      </c>
      <c r="D82" s="498"/>
      <c r="E82" s="498"/>
      <c r="F82" s="498"/>
      <c r="G82" s="498"/>
      <c r="H82" s="498"/>
      <c r="I82" s="260"/>
      <c r="J82" s="260"/>
      <c r="K82" s="260"/>
      <c r="L82" s="485" t="s">
        <v>326</v>
      </c>
      <c r="M82" s="477">
        <f>SUM(M77:M80)-M81</f>
        <v>33148.449999999997</v>
      </c>
      <c r="N82" s="253"/>
    </row>
    <row r="83" spans="2:16" ht="13.5" customHeight="1" thickBot="1" x14ac:dyDescent="0.45">
      <c r="B83" s="257"/>
      <c r="C83" s="499"/>
      <c r="D83" s="499"/>
      <c r="E83" s="499"/>
      <c r="F83" s="499"/>
      <c r="G83" s="499"/>
      <c r="H83" s="499"/>
      <c r="I83" s="258"/>
      <c r="J83" s="258"/>
      <c r="K83" s="258"/>
      <c r="L83" s="486"/>
      <c r="M83" s="478"/>
      <c r="N83" s="259"/>
      <c r="O83" s="135" t="s">
        <v>245</v>
      </c>
      <c r="P83" s="135" t="s">
        <v>245</v>
      </c>
    </row>
    <row r="84" spans="2:16" ht="13.5" customHeight="1" x14ac:dyDescent="0.4">
      <c r="C84" s="8"/>
      <c r="D84" s="8"/>
      <c r="E84" s="13"/>
      <c r="F84" s="13"/>
      <c r="G84" s="13"/>
      <c r="H84" s="13"/>
      <c r="I84" s="13"/>
      <c r="J84" s="13"/>
      <c r="K84" s="13"/>
      <c r="L84" s="13"/>
      <c r="M84" s="15" t="s">
        <v>245</v>
      </c>
      <c r="N84" s="8"/>
    </row>
    <row r="85" spans="2:16" ht="13.5" customHeight="1" x14ac:dyDescent="0.4">
      <c r="C85" s="8"/>
      <c r="D85" s="8"/>
      <c r="E85" s="13"/>
      <c r="F85" s="13"/>
      <c r="G85" s="13"/>
      <c r="H85" s="13"/>
      <c r="I85" s="13"/>
      <c r="J85" s="13"/>
      <c r="K85" s="13"/>
      <c r="L85" s="13"/>
      <c r="M85" s="15"/>
      <c r="N85" s="8"/>
    </row>
    <row r="86" spans="2:16" ht="13.5" customHeight="1" x14ac:dyDescent="0.4">
      <c r="C86" s="8"/>
      <c r="D86" s="8"/>
      <c r="E86" s="13"/>
      <c r="F86" s="13"/>
      <c r="G86" s="13"/>
      <c r="H86" s="13"/>
      <c r="I86" s="13"/>
      <c r="J86" s="13"/>
      <c r="K86" s="13"/>
      <c r="L86" s="13"/>
      <c r="M86" s="15"/>
      <c r="N86" s="8"/>
    </row>
    <row r="87" spans="2:16" ht="13.5" customHeight="1" x14ac:dyDescent="0.4">
      <c r="C87" s="237" t="s">
        <v>13</v>
      </c>
      <c r="D87" s="235"/>
      <c r="E87" s="235"/>
      <c r="F87" s="235"/>
      <c r="G87" s="237" t="s">
        <v>82</v>
      </c>
      <c r="H87" s="235"/>
      <c r="I87" s="237" t="s">
        <v>289</v>
      </c>
      <c r="J87" s="237"/>
      <c r="K87" s="235"/>
      <c r="L87" s="235"/>
      <c r="M87" s="235" t="s">
        <v>261</v>
      </c>
      <c r="N87" s="8"/>
    </row>
    <row r="88" spans="2:16" ht="13.5" customHeight="1" x14ac:dyDescent="0.4"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</row>
    <row r="89" spans="2:16" ht="20.149999999999999" customHeight="1" x14ac:dyDescent="0.4">
      <c r="C89" s="234" t="s">
        <v>290</v>
      </c>
      <c r="D89" s="235"/>
      <c r="E89" s="235"/>
      <c r="F89" s="235"/>
      <c r="G89" s="234" t="s">
        <v>14</v>
      </c>
      <c r="H89" s="235"/>
      <c r="I89" s="234" t="s">
        <v>17</v>
      </c>
      <c r="J89" s="234"/>
      <c r="K89" s="235"/>
      <c r="L89" s="235"/>
      <c r="M89" s="234" t="s">
        <v>8</v>
      </c>
      <c r="N89" s="8"/>
    </row>
    <row r="90" spans="2:16" ht="13.5" customHeight="1" x14ac:dyDescent="0.4">
      <c r="C90" s="19" t="s">
        <v>317</v>
      </c>
      <c r="D90" s="8"/>
      <c r="E90" s="8"/>
      <c r="F90" s="8"/>
      <c r="G90" s="19" t="s">
        <v>15</v>
      </c>
      <c r="H90" s="8"/>
      <c r="I90" s="19" t="s">
        <v>292</v>
      </c>
      <c r="J90" s="19"/>
      <c r="K90" s="8"/>
      <c r="L90" s="8"/>
      <c r="M90" s="19" t="s">
        <v>262</v>
      </c>
      <c r="N90" s="8"/>
    </row>
    <row r="91" spans="2:16" ht="13.5" customHeight="1" x14ac:dyDescent="0.4"/>
    <row r="92" spans="2:16" ht="13.5" customHeight="1" x14ac:dyDescent="0.4"/>
    <row r="93" spans="2:16" ht="13.5" customHeight="1" x14ac:dyDescent="0.4"/>
    <row r="94" spans="2:16" ht="13.5" customHeight="1" x14ac:dyDescent="0.4"/>
    <row r="95" spans="2:16" ht="13.5" customHeight="1" x14ac:dyDescent="0.4"/>
    <row r="96" spans="2:16" ht="13.5" customHeight="1" x14ac:dyDescent="0.4"/>
  </sheetData>
  <mergeCells count="21">
    <mergeCell ref="E71:G71"/>
    <mergeCell ref="C4:N4"/>
    <mergeCell ref="C5:M5"/>
    <mergeCell ref="C6:M6"/>
    <mergeCell ref="C7:M7"/>
    <mergeCell ref="C8:M8"/>
    <mergeCell ref="C14:E14"/>
    <mergeCell ref="C16:E16"/>
    <mergeCell ref="E43:G43"/>
    <mergeCell ref="G49:I49"/>
    <mergeCell ref="G57:J57"/>
    <mergeCell ref="C81:H81"/>
    <mergeCell ref="C82:H83"/>
    <mergeCell ref="L82:L83"/>
    <mergeCell ref="M82:M83"/>
    <mergeCell ref="E72:G72"/>
    <mergeCell ref="C77:H78"/>
    <mergeCell ref="L77:L78"/>
    <mergeCell ref="M77:M78"/>
    <mergeCell ref="C79:H79"/>
    <mergeCell ref="C80:H80"/>
  </mergeCells>
  <pageMargins left="0" right="0" top="0" bottom="0" header="0.3" footer="0.3"/>
  <pageSetup paperSize="9" scale="70"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10355A-B3AD-4C48-A76C-9A8368D5DC95}">
  <dimension ref="B1:P71"/>
  <sheetViews>
    <sheetView topLeftCell="A34" workbookViewId="0">
      <selection activeCell="F2" sqref="F2"/>
    </sheetView>
  </sheetViews>
  <sheetFormatPr defaultRowHeight="14.6" x14ac:dyDescent="0.4"/>
  <cols>
    <col min="1" max="1" width="2.3046875" customWidth="1"/>
    <col min="2" max="2" width="13.3046875" customWidth="1"/>
    <col min="3" max="3" width="4.84375" customWidth="1"/>
    <col min="4" max="4" width="12.3046875" customWidth="1"/>
    <col min="5" max="5" width="1.53515625" customWidth="1"/>
    <col min="6" max="6" width="19.84375" customWidth="1"/>
    <col min="7" max="7" width="22.3046875" customWidth="1"/>
    <col min="8" max="8" width="23.3046875" hidden="1" customWidth="1"/>
    <col min="9" max="9" width="13.69140625" customWidth="1"/>
    <col min="10" max="10" width="12.07421875" customWidth="1"/>
    <col min="11" max="12" width="12.3046875" customWidth="1"/>
    <col min="13" max="13" width="11.53515625" customWidth="1"/>
    <col min="14" max="14" width="12.4609375" customWidth="1"/>
    <col min="15" max="15" width="10.69140625" customWidth="1"/>
    <col min="16" max="16" width="12" customWidth="1"/>
  </cols>
  <sheetData>
    <row r="1" spans="2:13" x14ac:dyDescent="0.4">
      <c r="B1" s="246" t="s">
        <v>329</v>
      </c>
    </row>
    <row r="2" spans="2:13" x14ac:dyDescent="0.4">
      <c r="B2" s="246"/>
    </row>
    <row r="3" spans="2:13" ht="14.15" customHeight="1" x14ac:dyDescent="0.4">
      <c r="B3" s="468" t="s">
        <v>0</v>
      </c>
      <c r="C3" s="468"/>
      <c r="D3" s="468"/>
      <c r="E3" s="468"/>
      <c r="F3" s="468"/>
      <c r="G3" s="468"/>
      <c r="H3" s="468"/>
      <c r="I3" s="468"/>
      <c r="J3" s="468"/>
      <c r="K3" s="468"/>
      <c r="L3" s="468"/>
    </row>
    <row r="4" spans="2:13" ht="14.15" customHeight="1" x14ac:dyDescent="0.4">
      <c r="B4" s="19"/>
      <c r="C4" s="19"/>
      <c r="D4" s="19"/>
      <c r="E4" s="19"/>
      <c r="F4" s="19"/>
      <c r="G4" s="19" t="s">
        <v>18</v>
      </c>
      <c r="H4" s="19"/>
      <c r="I4" s="19"/>
      <c r="J4" s="19"/>
      <c r="K4" s="19"/>
      <c r="L4" s="1"/>
    </row>
    <row r="5" spans="2:13" ht="14.15" customHeight="1" x14ac:dyDescent="0.4">
      <c r="B5" s="8"/>
      <c r="C5" s="8"/>
      <c r="D5" s="8"/>
      <c r="E5" s="8"/>
      <c r="F5" s="473" t="s">
        <v>892</v>
      </c>
      <c r="G5" s="473"/>
      <c r="H5" s="473"/>
      <c r="I5" s="473"/>
      <c r="J5" s="473"/>
      <c r="K5" s="8"/>
    </row>
    <row r="6" spans="2:13" ht="14.15" customHeight="1" thickBot="1" x14ac:dyDescent="0.45">
      <c r="B6" s="8"/>
      <c r="C6" s="8"/>
      <c r="D6" s="8"/>
      <c r="E6" s="8"/>
      <c r="F6" s="8"/>
      <c r="G6" s="8"/>
      <c r="H6" s="8"/>
      <c r="I6" s="8"/>
      <c r="J6" s="8"/>
      <c r="K6" s="8"/>
    </row>
    <row r="7" spans="2:13" ht="21.75" customHeight="1" x14ac:dyDescent="0.4">
      <c r="B7" s="308"/>
      <c r="C7" s="309"/>
      <c r="D7" s="310"/>
      <c r="E7" s="309"/>
      <c r="F7" s="311"/>
      <c r="G7" s="500" t="s">
        <v>304</v>
      </c>
      <c r="H7" s="500" t="s">
        <v>299</v>
      </c>
      <c r="I7" s="500" t="s">
        <v>293</v>
      </c>
      <c r="J7" s="502" t="s">
        <v>301</v>
      </c>
      <c r="K7" s="502"/>
      <c r="L7" s="500" t="s">
        <v>296</v>
      </c>
    </row>
    <row r="8" spans="2:13" ht="30" customHeight="1" thickBot="1" x14ac:dyDescent="0.45">
      <c r="B8" s="312" t="s">
        <v>5</v>
      </c>
      <c r="C8" s="313"/>
      <c r="D8" s="314" t="s">
        <v>309</v>
      </c>
      <c r="E8" s="313"/>
      <c r="F8" s="315" t="s">
        <v>1</v>
      </c>
      <c r="G8" s="501"/>
      <c r="H8" s="501"/>
      <c r="I8" s="501"/>
      <c r="J8" s="316" t="s">
        <v>302</v>
      </c>
      <c r="K8" s="317" t="s">
        <v>303</v>
      </c>
      <c r="L8" s="501"/>
    </row>
    <row r="9" spans="2:13" ht="16.2" customHeight="1" x14ac:dyDescent="0.4">
      <c r="B9" s="137" t="s">
        <v>59</v>
      </c>
      <c r="C9" s="19"/>
      <c r="D9" s="155"/>
      <c r="E9" s="19"/>
      <c r="F9" s="170"/>
      <c r="G9" s="110"/>
      <c r="H9" s="110"/>
      <c r="I9" s="157"/>
      <c r="J9" s="178"/>
      <c r="K9" s="183"/>
      <c r="L9" s="186"/>
    </row>
    <row r="10" spans="2:13" ht="16.2" customHeight="1" x14ac:dyDescent="0.4">
      <c r="B10" s="138" t="s">
        <v>154</v>
      </c>
      <c r="C10" s="139" t="s">
        <v>245</v>
      </c>
      <c r="D10" s="140">
        <v>3003</v>
      </c>
      <c r="E10" s="141"/>
      <c r="F10" s="171" t="s">
        <v>912</v>
      </c>
      <c r="G10" s="158">
        <v>100</v>
      </c>
      <c r="H10" s="158"/>
      <c r="I10" s="140"/>
      <c r="J10" s="114"/>
      <c r="K10" s="184" t="s">
        <v>245</v>
      </c>
      <c r="L10" s="163"/>
    </row>
    <row r="11" spans="2:13" ht="16.2" customHeight="1" x14ac:dyDescent="0.4">
      <c r="B11" s="138" t="s">
        <v>154</v>
      </c>
      <c r="C11" s="139"/>
      <c r="D11" s="140">
        <f>1+D10</f>
        <v>3004</v>
      </c>
      <c r="E11" s="141"/>
      <c r="F11" s="171" t="s">
        <v>232</v>
      </c>
      <c r="G11" s="158">
        <v>100</v>
      </c>
      <c r="H11" s="158"/>
      <c r="I11" s="140"/>
      <c r="J11" s="114"/>
      <c r="K11" s="184"/>
      <c r="L11" s="163"/>
    </row>
    <row r="12" spans="2:13" ht="16.2" customHeight="1" x14ac:dyDescent="0.4">
      <c r="B12" s="138" t="s">
        <v>154</v>
      </c>
      <c r="C12" s="139"/>
      <c r="D12" s="140">
        <f t="shared" ref="D12:D13" si="0">1+D11</f>
        <v>3005</v>
      </c>
      <c r="E12" s="141"/>
      <c r="F12" s="171" t="s">
        <v>20</v>
      </c>
      <c r="G12" s="158">
        <v>100</v>
      </c>
      <c r="H12" s="158"/>
      <c r="I12" s="140"/>
      <c r="J12" s="114"/>
      <c r="K12" s="184"/>
      <c r="L12" s="163"/>
    </row>
    <row r="13" spans="2:13" ht="16.2" customHeight="1" x14ac:dyDescent="0.4">
      <c r="B13" s="138" t="s">
        <v>154</v>
      </c>
      <c r="C13" s="139"/>
      <c r="D13" s="140">
        <f t="shared" si="0"/>
        <v>3006</v>
      </c>
      <c r="E13" s="141"/>
      <c r="F13" s="171" t="s">
        <v>379</v>
      </c>
      <c r="G13" s="158">
        <v>100</v>
      </c>
      <c r="H13" s="158"/>
      <c r="I13" s="140"/>
      <c r="J13" s="114"/>
      <c r="K13" s="184"/>
      <c r="L13" s="163"/>
    </row>
    <row r="14" spans="2:13" ht="18" customHeight="1" x14ac:dyDescent="0.4">
      <c r="B14" s="154" t="s">
        <v>307</v>
      </c>
      <c r="D14" s="111"/>
      <c r="F14" s="109"/>
      <c r="G14" s="161">
        <f>SUM(G10:G13)</f>
        <v>400</v>
      </c>
      <c r="H14" s="161"/>
      <c r="I14" s="162">
        <f>G14-J14</f>
        <v>0</v>
      </c>
      <c r="J14" s="114">
        <v>400</v>
      </c>
      <c r="K14" s="185">
        <v>600</v>
      </c>
      <c r="L14" s="198">
        <f>J14+K14</f>
        <v>1000</v>
      </c>
      <c r="M14" t="s">
        <v>245</v>
      </c>
    </row>
    <row r="15" spans="2:13" ht="16.2" customHeight="1" x14ac:dyDescent="0.4">
      <c r="B15" s="138" t="s">
        <v>16</v>
      </c>
      <c r="C15" s="141"/>
      <c r="D15" s="140">
        <v>3007</v>
      </c>
      <c r="E15" s="141"/>
      <c r="F15" s="171" t="s">
        <v>839</v>
      </c>
      <c r="G15" s="158">
        <v>100</v>
      </c>
      <c r="H15" s="159"/>
      <c r="I15" s="140"/>
      <c r="J15" s="114"/>
      <c r="K15" s="185"/>
      <c r="L15" s="167" t="s">
        <v>245</v>
      </c>
    </row>
    <row r="16" spans="2:13" ht="16.2" customHeight="1" x14ac:dyDescent="0.4">
      <c r="B16" s="138" t="s">
        <v>16</v>
      </c>
      <c r="C16" s="141"/>
      <c r="D16" s="140">
        <f>1+D15</f>
        <v>3008</v>
      </c>
      <c r="E16" s="141"/>
      <c r="F16" s="171" t="s">
        <v>232</v>
      </c>
      <c r="G16" s="275">
        <v>100</v>
      </c>
      <c r="H16" s="159"/>
      <c r="I16" s="140"/>
      <c r="J16" s="114"/>
      <c r="K16" s="185"/>
      <c r="L16" s="167"/>
      <c r="M16" s="272"/>
    </row>
    <row r="17" spans="2:16" ht="16.2" customHeight="1" x14ac:dyDescent="0.4">
      <c r="B17" s="138" t="s">
        <v>16</v>
      </c>
      <c r="C17" s="141"/>
      <c r="D17" s="140">
        <f>1+D16</f>
        <v>3009</v>
      </c>
      <c r="E17" s="141"/>
      <c r="F17" s="171" t="s">
        <v>33</v>
      </c>
      <c r="G17" s="158">
        <v>100</v>
      </c>
      <c r="H17" s="159"/>
      <c r="I17" s="140"/>
      <c r="J17" s="114"/>
      <c r="K17" s="185"/>
      <c r="L17" s="167"/>
    </row>
    <row r="18" spans="2:16" ht="16.2" customHeight="1" x14ac:dyDescent="0.4">
      <c r="B18" s="138" t="s">
        <v>16</v>
      </c>
      <c r="C18" s="141"/>
      <c r="D18" s="140">
        <f t="shared" ref="D18:D21" si="1">1+D17</f>
        <v>3010</v>
      </c>
      <c r="E18" s="141"/>
      <c r="F18" s="171" t="s">
        <v>41</v>
      </c>
      <c r="G18" s="158">
        <v>100</v>
      </c>
      <c r="H18" s="159"/>
      <c r="I18" s="140"/>
      <c r="J18" s="114"/>
      <c r="K18" s="185"/>
      <c r="L18" s="167"/>
    </row>
    <row r="19" spans="2:16" ht="16.2" customHeight="1" x14ac:dyDescent="0.4">
      <c r="B19" s="138" t="s">
        <v>16</v>
      </c>
      <c r="C19" s="141"/>
      <c r="D19" s="140">
        <f t="shared" si="1"/>
        <v>3011</v>
      </c>
      <c r="E19" s="141"/>
      <c r="F19" s="172" t="s">
        <v>912</v>
      </c>
      <c r="G19" s="158">
        <v>100</v>
      </c>
      <c r="H19" s="159"/>
      <c r="I19" s="140"/>
      <c r="J19" s="114"/>
      <c r="K19" s="185"/>
      <c r="L19" s="167"/>
    </row>
    <row r="20" spans="2:16" ht="16.2" customHeight="1" x14ac:dyDescent="0.4">
      <c r="B20" s="138" t="s">
        <v>16</v>
      </c>
      <c r="C20" s="141"/>
      <c r="D20" s="140">
        <f t="shared" si="1"/>
        <v>3012</v>
      </c>
      <c r="E20" s="141"/>
      <c r="F20" s="172" t="s">
        <v>20</v>
      </c>
      <c r="G20" s="158">
        <v>100</v>
      </c>
      <c r="H20" s="159"/>
      <c r="I20" s="140"/>
      <c r="J20" s="114"/>
      <c r="K20" s="185"/>
      <c r="L20" s="167"/>
    </row>
    <row r="21" spans="2:16" ht="16.2" customHeight="1" x14ac:dyDescent="0.4">
      <c r="B21" s="138" t="s">
        <v>16</v>
      </c>
      <c r="C21" s="141"/>
      <c r="D21" s="140">
        <f t="shared" si="1"/>
        <v>3013</v>
      </c>
      <c r="E21" s="141"/>
      <c r="F21" s="172" t="s">
        <v>846</v>
      </c>
      <c r="G21" s="158">
        <v>100</v>
      </c>
      <c r="H21" s="159"/>
      <c r="I21" s="140"/>
      <c r="J21" s="114"/>
      <c r="K21" s="185"/>
      <c r="L21" s="167"/>
    </row>
    <row r="22" spans="2:16" ht="16.2" hidden="1" customHeight="1" x14ac:dyDescent="0.4">
      <c r="B22" s="138"/>
      <c r="C22" s="141"/>
      <c r="D22" s="140"/>
      <c r="E22" s="141"/>
      <c r="F22" s="172"/>
      <c r="G22" s="158">
        <v>0</v>
      </c>
      <c r="H22" s="159"/>
      <c r="I22" s="140"/>
      <c r="J22" s="114"/>
      <c r="K22" s="185"/>
      <c r="L22" s="167"/>
    </row>
    <row r="23" spans="2:16" ht="16.2" hidden="1" customHeight="1" x14ac:dyDescent="0.4">
      <c r="B23" s="138"/>
      <c r="C23" s="141"/>
      <c r="D23" s="140"/>
      <c r="E23" s="141"/>
      <c r="F23" s="172"/>
      <c r="G23" s="158">
        <v>0</v>
      </c>
      <c r="H23" s="159"/>
      <c r="I23" s="140"/>
      <c r="J23" s="114"/>
      <c r="K23" s="185"/>
      <c r="L23" s="167"/>
    </row>
    <row r="24" spans="2:16" ht="16.2" hidden="1" customHeight="1" x14ac:dyDescent="0.4">
      <c r="B24" s="138"/>
      <c r="C24" s="141"/>
      <c r="D24" s="140"/>
      <c r="E24" s="141"/>
      <c r="F24" s="172"/>
      <c r="G24" s="158">
        <v>0</v>
      </c>
      <c r="H24" s="159"/>
      <c r="I24" s="140"/>
      <c r="J24" s="114"/>
      <c r="K24" s="185"/>
      <c r="L24" s="167"/>
    </row>
    <row r="25" spans="2:16" ht="16.2" customHeight="1" x14ac:dyDescent="0.4">
      <c r="B25" s="154" t="s">
        <v>307</v>
      </c>
      <c r="C25" s="141"/>
      <c r="D25" s="140"/>
      <c r="E25" s="141"/>
      <c r="F25" s="172"/>
      <c r="G25" s="334">
        <f>SUM(G15:G24)</f>
        <v>700</v>
      </c>
      <c r="H25" s="417"/>
      <c r="I25" s="453">
        <f>G25-J25</f>
        <v>100</v>
      </c>
      <c r="J25" s="142">
        <v>600</v>
      </c>
      <c r="K25" s="185">
        <v>400</v>
      </c>
      <c r="L25" s="198">
        <f>J25+K25</f>
        <v>1000</v>
      </c>
    </row>
    <row r="26" spans="2:16" ht="16.2" customHeight="1" x14ac:dyDescent="0.4">
      <c r="B26" s="138">
        <v>15</v>
      </c>
      <c r="C26" s="141"/>
      <c r="D26" s="140">
        <v>3014</v>
      </c>
      <c r="E26" s="141"/>
      <c r="F26" s="172" t="s">
        <v>839</v>
      </c>
      <c r="G26" s="275">
        <v>100</v>
      </c>
      <c r="H26" s="159"/>
      <c r="I26" s="140"/>
      <c r="J26" s="114"/>
      <c r="K26" s="185"/>
      <c r="L26" s="198"/>
      <c r="M26" s="272"/>
    </row>
    <row r="27" spans="2:16" ht="16.2" customHeight="1" x14ac:dyDescent="0.4">
      <c r="B27" s="138">
        <v>15</v>
      </c>
      <c r="C27" s="141"/>
      <c r="D27" s="140">
        <f t="shared" ref="D27:D32" si="2">1+D26</f>
        <v>3015</v>
      </c>
      <c r="E27" s="141"/>
      <c r="F27" s="172" t="s">
        <v>232</v>
      </c>
      <c r="G27" s="275">
        <v>100</v>
      </c>
      <c r="H27" s="159"/>
      <c r="I27" s="140"/>
      <c r="J27" s="114"/>
      <c r="K27" s="185"/>
      <c r="L27" s="198"/>
      <c r="M27" s="272"/>
    </row>
    <row r="28" spans="2:16" ht="16.2" customHeight="1" x14ac:dyDescent="0.4">
      <c r="B28" s="138">
        <v>15</v>
      </c>
      <c r="C28" s="141"/>
      <c r="D28" s="140">
        <f t="shared" si="2"/>
        <v>3016</v>
      </c>
      <c r="E28" s="141"/>
      <c r="F28" s="172" t="s">
        <v>41</v>
      </c>
      <c r="G28" s="275">
        <v>100</v>
      </c>
      <c r="H28" s="159"/>
      <c r="I28" s="140"/>
      <c r="J28" s="114"/>
      <c r="K28" s="185"/>
      <c r="L28" s="198"/>
    </row>
    <row r="29" spans="2:16" ht="16.2" customHeight="1" x14ac:dyDescent="0.4">
      <c r="B29" s="138">
        <v>15</v>
      </c>
      <c r="C29" s="141"/>
      <c r="D29" s="140">
        <f t="shared" si="2"/>
        <v>3017</v>
      </c>
      <c r="E29" s="141"/>
      <c r="F29" s="172" t="s">
        <v>912</v>
      </c>
      <c r="G29" s="275">
        <v>100</v>
      </c>
      <c r="H29" s="159"/>
      <c r="I29" s="140"/>
      <c r="J29" s="114"/>
      <c r="K29" s="185"/>
      <c r="L29" s="198"/>
    </row>
    <row r="30" spans="2:16" ht="16.2" customHeight="1" x14ac:dyDescent="0.4">
      <c r="B30" s="138">
        <v>15</v>
      </c>
      <c r="C30" s="141"/>
      <c r="D30" s="140">
        <f t="shared" si="2"/>
        <v>3018</v>
      </c>
      <c r="E30" s="141"/>
      <c r="F30" s="172" t="s">
        <v>74</v>
      </c>
      <c r="G30" s="275">
        <v>100</v>
      </c>
      <c r="H30" s="159"/>
      <c r="I30" s="140"/>
      <c r="J30" s="114"/>
      <c r="K30" s="185"/>
      <c r="L30" s="198"/>
    </row>
    <row r="31" spans="2:16" ht="16.2" customHeight="1" x14ac:dyDescent="0.4">
      <c r="B31" s="138">
        <v>15</v>
      </c>
      <c r="C31" s="141"/>
      <c r="D31" s="140">
        <f t="shared" si="2"/>
        <v>3019</v>
      </c>
      <c r="E31" s="141"/>
      <c r="F31" s="172" t="s">
        <v>912</v>
      </c>
      <c r="G31" s="275">
        <v>100</v>
      </c>
      <c r="H31" s="159"/>
      <c r="I31" s="140"/>
      <c r="J31" s="114"/>
      <c r="K31" s="185"/>
      <c r="L31" s="198"/>
    </row>
    <row r="32" spans="2:16" ht="16.2" customHeight="1" x14ac:dyDescent="0.4">
      <c r="B32" s="138">
        <v>15</v>
      </c>
      <c r="C32" s="141"/>
      <c r="D32" s="140">
        <f t="shared" si="2"/>
        <v>3020</v>
      </c>
      <c r="E32" s="141"/>
      <c r="F32" s="172" t="s">
        <v>294</v>
      </c>
      <c r="G32" s="275">
        <v>100</v>
      </c>
      <c r="H32" s="159"/>
      <c r="I32" s="140"/>
      <c r="J32" s="114"/>
      <c r="K32" s="185"/>
      <c r="L32" s="198"/>
      <c r="M32" s="272"/>
      <c r="P32" s="216"/>
    </row>
    <row r="33" spans="2:13" ht="16.2" customHeight="1" x14ac:dyDescent="0.4">
      <c r="B33" s="345" t="s">
        <v>307</v>
      </c>
      <c r="C33" s="395"/>
      <c r="D33" s="177"/>
      <c r="E33" s="395"/>
      <c r="F33" s="396"/>
      <c r="G33" s="400">
        <f>SUM(G26:G32)</f>
        <v>700</v>
      </c>
      <c r="H33" s="399"/>
      <c r="I33" s="162">
        <f>G33-J33</f>
        <v>0</v>
      </c>
      <c r="J33" s="114">
        <v>700</v>
      </c>
      <c r="K33" s="185">
        <v>300</v>
      </c>
      <c r="L33" s="198">
        <f>J33+K33</f>
        <v>1000</v>
      </c>
      <c r="M33" s="272"/>
    </row>
    <row r="34" spans="2:13" ht="16.2" customHeight="1" x14ac:dyDescent="0.4">
      <c r="B34" s="175">
        <v>22</v>
      </c>
      <c r="C34" s="395"/>
      <c r="D34" s="177">
        <v>3021</v>
      </c>
      <c r="E34" s="395"/>
      <c r="F34" s="396" t="s">
        <v>913</v>
      </c>
      <c r="G34" s="397">
        <v>100</v>
      </c>
      <c r="H34" s="399"/>
      <c r="I34" s="177"/>
      <c r="J34" s="114"/>
      <c r="K34" s="185"/>
      <c r="L34" s="198"/>
    </row>
    <row r="35" spans="2:13" ht="16.2" customHeight="1" x14ac:dyDescent="0.4">
      <c r="B35" s="175">
        <v>22</v>
      </c>
      <c r="C35" s="395"/>
      <c r="D35" s="177">
        <f>1+D34</f>
        <v>3022</v>
      </c>
      <c r="E35" s="395"/>
      <c r="F35" s="396" t="s">
        <v>232</v>
      </c>
      <c r="G35" s="397">
        <v>100</v>
      </c>
      <c r="H35" s="399"/>
      <c r="I35" s="177"/>
      <c r="J35" s="114"/>
      <c r="K35" s="185"/>
      <c r="L35" s="198"/>
    </row>
    <row r="36" spans="2:13" ht="16.2" customHeight="1" x14ac:dyDescent="0.4">
      <c r="B36" s="175">
        <v>22</v>
      </c>
      <c r="C36" s="395"/>
      <c r="D36" s="177">
        <f t="shared" ref="D36:D42" si="3">1+D35</f>
        <v>3023</v>
      </c>
      <c r="E36" s="395"/>
      <c r="F36" s="396" t="s">
        <v>238</v>
      </c>
      <c r="G36" s="397">
        <v>100</v>
      </c>
      <c r="H36" s="399"/>
      <c r="I36" s="177"/>
      <c r="J36" s="114"/>
      <c r="K36" s="185"/>
      <c r="L36" s="198"/>
    </row>
    <row r="37" spans="2:13" ht="16.2" customHeight="1" x14ac:dyDescent="0.4">
      <c r="B37" s="175">
        <v>22</v>
      </c>
      <c r="C37" s="395"/>
      <c r="D37" s="177">
        <f t="shared" si="3"/>
        <v>3024</v>
      </c>
      <c r="E37" s="395"/>
      <c r="F37" s="396" t="s">
        <v>238</v>
      </c>
      <c r="G37" s="397">
        <v>50</v>
      </c>
      <c r="H37" s="399"/>
      <c r="I37" s="177"/>
      <c r="J37" s="114"/>
      <c r="K37" s="185"/>
      <c r="L37" s="198"/>
    </row>
    <row r="38" spans="2:13" ht="16.2" customHeight="1" x14ac:dyDescent="0.4">
      <c r="B38" s="175">
        <v>22</v>
      </c>
      <c r="C38" s="395"/>
      <c r="D38" s="177">
        <f t="shared" si="3"/>
        <v>3025</v>
      </c>
      <c r="E38" s="395"/>
      <c r="F38" s="396" t="s">
        <v>41</v>
      </c>
      <c r="G38" s="397">
        <v>100</v>
      </c>
      <c r="H38" s="399"/>
      <c r="I38" s="177"/>
      <c r="J38" s="114"/>
      <c r="K38" s="185"/>
      <c r="L38" s="198"/>
    </row>
    <row r="39" spans="2:13" ht="16.2" customHeight="1" x14ac:dyDescent="0.4">
      <c r="B39" s="175">
        <v>22</v>
      </c>
      <c r="C39" s="395"/>
      <c r="D39" s="177">
        <f t="shared" si="3"/>
        <v>3026</v>
      </c>
      <c r="E39" s="395"/>
      <c r="F39" s="396" t="s">
        <v>74</v>
      </c>
      <c r="G39" s="397">
        <v>100</v>
      </c>
      <c r="H39" s="399"/>
      <c r="I39" s="177"/>
      <c r="J39" s="114"/>
      <c r="K39" s="185"/>
      <c r="L39" s="198"/>
    </row>
    <row r="40" spans="2:13" ht="16.2" customHeight="1" x14ac:dyDescent="0.4">
      <c r="B40" s="175">
        <v>22</v>
      </c>
      <c r="C40" s="395"/>
      <c r="D40" s="177">
        <f t="shared" si="3"/>
        <v>3027</v>
      </c>
      <c r="E40" s="395"/>
      <c r="F40" s="396" t="s">
        <v>294</v>
      </c>
      <c r="G40" s="397">
        <v>100</v>
      </c>
      <c r="H40" s="399"/>
      <c r="I40" s="177"/>
      <c r="J40" s="114"/>
      <c r="K40" s="185"/>
      <c r="L40" s="198"/>
    </row>
    <row r="41" spans="2:13" ht="16.2" customHeight="1" x14ac:dyDescent="0.4">
      <c r="B41" s="175">
        <v>22</v>
      </c>
      <c r="C41" s="395"/>
      <c r="D41" s="177">
        <f t="shared" si="3"/>
        <v>3028</v>
      </c>
      <c r="E41" s="395"/>
      <c r="F41" s="396" t="s">
        <v>379</v>
      </c>
      <c r="G41" s="397">
        <v>100</v>
      </c>
      <c r="H41" s="399"/>
      <c r="I41" s="177"/>
      <c r="J41" s="114"/>
      <c r="K41" s="185"/>
      <c r="L41" s="198"/>
    </row>
    <row r="42" spans="2:13" ht="16.2" customHeight="1" x14ac:dyDescent="0.4">
      <c r="B42" s="175">
        <v>22</v>
      </c>
      <c r="C42" s="395"/>
      <c r="D42" s="177">
        <f t="shared" si="3"/>
        <v>3029</v>
      </c>
      <c r="E42" s="395"/>
      <c r="F42" s="396" t="s">
        <v>385</v>
      </c>
      <c r="G42" s="397">
        <v>100</v>
      </c>
      <c r="H42" s="399"/>
      <c r="I42" s="177"/>
      <c r="J42" s="114"/>
      <c r="K42" s="185"/>
      <c r="L42" s="198"/>
    </row>
    <row r="43" spans="2:13" ht="16.2" customHeight="1" x14ac:dyDescent="0.4">
      <c r="B43" s="345" t="s">
        <v>307</v>
      </c>
      <c r="C43" s="395"/>
      <c r="D43" s="177"/>
      <c r="E43" s="395"/>
      <c r="F43" s="396"/>
      <c r="G43" s="400">
        <f>SUM(G34:G42)</f>
        <v>850</v>
      </c>
      <c r="H43" s="399"/>
      <c r="I43" s="162">
        <f>G43-J43</f>
        <v>0</v>
      </c>
      <c r="J43" s="114">
        <v>850</v>
      </c>
      <c r="K43" s="185">
        <v>150</v>
      </c>
      <c r="L43" s="198">
        <f t="shared" ref="L43:L52" si="4">J43+K43</f>
        <v>1000</v>
      </c>
    </row>
    <row r="44" spans="2:13" ht="16.2" customHeight="1" x14ac:dyDescent="0.4">
      <c r="B44" s="175">
        <v>29</v>
      </c>
      <c r="C44" s="395"/>
      <c r="D44" s="177">
        <v>3030</v>
      </c>
      <c r="E44" s="395"/>
      <c r="F44" s="396" t="s">
        <v>914</v>
      </c>
      <c r="G44" s="397">
        <v>100</v>
      </c>
      <c r="H44" s="399"/>
      <c r="I44" s="177"/>
      <c r="J44" s="114"/>
      <c r="K44" s="185"/>
      <c r="L44" s="198">
        <f t="shared" si="4"/>
        <v>0</v>
      </c>
    </row>
    <row r="45" spans="2:13" ht="16.2" customHeight="1" x14ac:dyDescent="0.4">
      <c r="B45" s="175">
        <v>29</v>
      </c>
      <c r="C45" s="395"/>
      <c r="D45" s="177">
        <f>1+D44</f>
        <v>3031</v>
      </c>
      <c r="E45" s="395"/>
      <c r="F45" s="396" t="s">
        <v>232</v>
      </c>
      <c r="G45" s="397">
        <v>100</v>
      </c>
      <c r="H45" s="399"/>
      <c r="I45" s="177"/>
      <c r="J45" s="114"/>
      <c r="K45" s="185"/>
      <c r="L45" s="198">
        <f t="shared" si="4"/>
        <v>0</v>
      </c>
    </row>
    <row r="46" spans="2:13" ht="16.2" customHeight="1" x14ac:dyDescent="0.4">
      <c r="B46" s="175">
        <v>29</v>
      </c>
      <c r="C46" s="395"/>
      <c r="D46" s="177">
        <f t="shared" ref="D46:D50" si="5">1+D45</f>
        <v>3032</v>
      </c>
      <c r="E46" s="395"/>
      <c r="F46" s="396" t="s">
        <v>839</v>
      </c>
      <c r="G46" s="397">
        <v>100</v>
      </c>
      <c r="H46" s="399"/>
      <c r="I46" s="177"/>
      <c r="J46" s="114"/>
      <c r="K46" s="185"/>
      <c r="L46" s="198"/>
    </row>
    <row r="47" spans="2:13" ht="16.2" customHeight="1" x14ac:dyDescent="0.4">
      <c r="B47" s="175">
        <v>29</v>
      </c>
      <c r="C47" s="395"/>
      <c r="D47" s="177">
        <f t="shared" si="5"/>
        <v>3033</v>
      </c>
      <c r="E47" s="395"/>
      <c r="F47" s="396" t="s">
        <v>294</v>
      </c>
      <c r="G47" s="397">
        <v>100</v>
      </c>
      <c r="H47" s="399"/>
      <c r="I47" s="177"/>
      <c r="J47" s="114"/>
      <c r="K47" s="185"/>
      <c r="L47" s="198"/>
    </row>
    <row r="48" spans="2:13" ht="16.2" customHeight="1" x14ac:dyDescent="0.4">
      <c r="B48" s="175">
        <v>29</v>
      </c>
      <c r="C48" s="395"/>
      <c r="D48" s="177">
        <f t="shared" si="5"/>
        <v>3034</v>
      </c>
      <c r="E48" s="395"/>
      <c r="F48" s="396" t="s">
        <v>915</v>
      </c>
      <c r="G48" s="397">
        <v>100</v>
      </c>
      <c r="H48" s="399"/>
      <c r="I48" s="177"/>
      <c r="J48" s="114"/>
      <c r="K48" s="185"/>
      <c r="L48" s="198"/>
    </row>
    <row r="49" spans="2:16" ht="16.2" customHeight="1" x14ac:dyDescent="0.4">
      <c r="B49" s="175">
        <v>29</v>
      </c>
      <c r="C49" s="395"/>
      <c r="D49" s="177">
        <f t="shared" si="5"/>
        <v>3035</v>
      </c>
      <c r="E49" s="395"/>
      <c r="F49" s="396" t="s">
        <v>33</v>
      </c>
      <c r="G49" s="397">
        <v>100</v>
      </c>
      <c r="H49" s="399"/>
      <c r="I49" s="177"/>
      <c r="J49" s="114"/>
      <c r="K49" s="185"/>
      <c r="L49" s="198"/>
    </row>
    <row r="50" spans="2:16" ht="16.2" customHeight="1" x14ac:dyDescent="0.4">
      <c r="B50" s="175">
        <v>29</v>
      </c>
      <c r="C50" s="395"/>
      <c r="D50" s="177">
        <f t="shared" si="5"/>
        <v>3036</v>
      </c>
      <c r="E50" s="395"/>
      <c r="F50" s="396" t="s">
        <v>41</v>
      </c>
      <c r="G50" s="397">
        <v>100</v>
      </c>
      <c r="H50" s="399"/>
      <c r="I50" s="177"/>
      <c r="J50" s="114"/>
      <c r="K50" s="185"/>
      <c r="L50" s="198"/>
    </row>
    <row r="51" spans="2:16" ht="16.2" customHeight="1" x14ac:dyDescent="0.4">
      <c r="B51" s="175">
        <v>29</v>
      </c>
      <c r="C51" s="395"/>
      <c r="D51" s="452">
        <v>0</v>
      </c>
      <c r="E51" s="395"/>
      <c r="F51" s="396" t="s">
        <v>916</v>
      </c>
      <c r="G51" s="397">
        <v>200</v>
      </c>
      <c r="H51" s="399"/>
      <c r="I51" s="177"/>
      <c r="J51" s="114"/>
      <c r="K51" s="185"/>
      <c r="L51" s="198"/>
    </row>
    <row r="52" spans="2:16" ht="16.2" customHeight="1" thickBot="1" x14ac:dyDescent="0.45">
      <c r="B52" s="345" t="s">
        <v>307</v>
      </c>
      <c r="C52" s="395"/>
      <c r="D52" s="177"/>
      <c r="E52" s="395"/>
      <c r="F52" s="396"/>
      <c r="G52" s="419">
        <f>SUM(G44:G51)</f>
        <v>900</v>
      </c>
      <c r="H52" s="399"/>
      <c r="I52" s="397">
        <f>G52-J52</f>
        <v>-100</v>
      </c>
      <c r="J52" s="114">
        <v>1000</v>
      </c>
      <c r="K52" s="185">
        <v>0</v>
      </c>
      <c r="L52" s="198">
        <f t="shared" si="4"/>
        <v>1000</v>
      </c>
    </row>
    <row r="53" spans="2:16" ht="22.2" customHeight="1" thickBot="1" x14ac:dyDescent="0.45">
      <c r="B53" s="318" t="s">
        <v>297</v>
      </c>
      <c r="C53" s="319"/>
      <c r="D53" s="320"/>
      <c r="E53" s="321"/>
      <c r="F53" s="319"/>
      <c r="G53" s="322">
        <f>G52+G43+G33+G25+G14</f>
        <v>3550</v>
      </c>
      <c r="H53" s="322"/>
      <c r="I53" s="322">
        <f>I52+I43+I33+I25+I14</f>
        <v>0</v>
      </c>
      <c r="J53" s="322">
        <f>J52+J43+J33+J25+J14</f>
        <v>3550</v>
      </c>
      <c r="K53" s="322">
        <f>K52+K43+K33+K25+K14</f>
        <v>1450</v>
      </c>
      <c r="L53" s="322">
        <f>L52+L43+L33+L25+L14</f>
        <v>5000</v>
      </c>
      <c r="P53" s="408"/>
    </row>
    <row r="54" spans="2:16" ht="16.2" customHeight="1" x14ac:dyDescent="0.4">
      <c r="B54" s="9"/>
      <c r="C54" s="8"/>
      <c r="D54" s="19"/>
      <c r="E54" s="19"/>
      <c r="F54" s="8"/>
      <c r="G54" s="10" t="s">
        <v>245</v>
      </c>
      <c r="H54" s="10"/>
      <c r="I54" s="14" t="s">
        <v>245</v>
      </c>
      <c r="J54" s="14" t="s">
        <v>245</v>
      </c>
      <c r="K54" s="12"/>
      <c r="L54" s="15" t="s">
        <v>245</v>
      </c>
      <c r="P54" s="409"/>
    </row>
    <row r="55" spans="2:16" ht="14.15" customHeight="1" x14ac:dyDescent="0.4">
      <c r="B55" s="8"/>
      <c r="C55" s="8"/>
      <c r="D55" s="8"/>
      <c r="E55" s="8"/>
      <c r="F55" s="19"/>
      <c r="G55" s="8"/>
      <c r="H55" s="8"/>
      <c r="I55" s="8"/>
      <c r="J55" s="8"/>
      <c r="K55" s="8"/>
    </row>
    <row r="56" spans="2:16" ht="14.15" customHeight="1" x14ac:dyDescent="0.4">
      <c r="B56" s="267" t="s">
        <v>901</v>
      </c>
      <c r="C56" s="267"/>
      <c r="D56" s="267"/>
      <c r="E56" s="267"/>
      <c r="F56" s="19"/>
      <c r="G56" s="8"/>
      <c r="H56" s="8"/>
      <c r="I56" s="8"/>
      <c r="J56" s="8"/>
      <c r="K56" s="8"/>
    </row>
    <row r="57" spans="2:16" ht="14.15" customHeight="1" thickBot="1" x14ac:dyDescent="0.45">
      <c r="B57" s="19" t="s">
        <v>245</v>
      </c>
      <c r="C57" s="8"/>
      <c r="D57" s="8"/>
      <c r="E57" s="8"/>
      <c r="F57" s="19"/>
      <c r="G57" s="19"/>
      <c r="H57" s="19"/>
      <c r="I57" s="19"/>
      <c r="J57" s="19"/>
      <c r="K57" s="19"/>
    </row>
    <row r="58" spans="2:16" ht="18" customHeight="1" thickBot="1" x14ac:dyDescent="0.45">
      <c r="B58" s="469" t="s">
        <v>311</v>
      </c>
      <c r="C58" s="470"/>
      <c r="D58" s="470"/>
      <c r="E58" s="471"/>
      <c r="F58" s="209" t="s">
        <v>123</v>
      </c>
      <c r="G58" s="19"/>
      <c r="H58" s="19"/>
      <c r="I58" s="19"/>
      <c r="J58" s="19"/>
      <c r="K58" s="19"/>
    </row>
    <row r="59" spans="2:16" ht="15" customHeight="1" thickBot="1" x14ac:dyDescent="0.45">
      <c r="B59" s="329" t="s">
        <v>59</v>
      </c>
      <c r="C59" s="330" t="s">
        <v>154</v>
      </c>
      <c r="D59" s="325" t="s">
        <v>245</v>
      </c>
      <c r="E59" s="325"/>
      <c r="F59" s="401">
        <v>1000</v>
      </c>
      <c r="G59" s="41"/>
      <c r="H59" s="41"/>
      <c r="I59" s="8"/>
      <c r="J59" s="201"/>
      <c r="K59" s="8"/>
    </row>
    <row r="60" spans="2:16" ht="15" customHeight="1" thickBot="1" x14ac:dyDescent="0.45">
      <c r="B60" s="329" t="s">
        <v>59</v>
      </c>
      <c r="C60" s="330" t="s">
        <v>16</v>
      </c>
      <c r="D60" s="325"/>
      <c r="E60" s="325"/>
      <c r="F60" s="401">
        <v>1000</v>
      </c>
      <c r="G60" s="41"/>
      <c r="H60" s="41"/>
      <c r="I60" s="8"/>
      <c r="J60" s="201"/>
      <c r="K60" s="8"/>
    </row>
    <row r="61" spans="2:16" ht="15" customHeight="1" thickBot="1" x14ac:dyDescent="0.45">
      <c r="B61" s="329" t="s">
        <v>59</v>
      </c>
      <c r="C61" s="330">
        <v>15</v>
      </c>
      <c r="D61" s="325"/>
      <c r="E61" s="325"/>
      <c r="F61" s="401">
        <v>1000</v>
      </c>
      <c r="G61" s="41"/>
      <c r="H61" s="41"/>
      <c r="I61" s="8"/>
      <c r="J61" s="201"/>
      <c r="K61" s="8"/>
    </row>
    <row r="62" spans="2:16" ht="15" customHeight="1" thickBot="1" x14ac:dyDescent="0.45">
      <c r="B62" s="329" t="s">
        <v>57</v>
      </c>
      <c r="C62" s="330">
        <v>22</v>
      </c>
      <c r="D62" s="325"/>
      <c r="E62" s="325"/>
      <c r="F62" s="401">
        <v>1000</v>
      </c>
      <c r="G62" s="41"/>
      <c r="H62" s="41"/>
      <c r="I62" s="8"/>
      <c r="J62" s="201"/>
      <c r="K62" s="8"/>
    </row>
    <row r="63" spans="2:16" ht="15" customHeight="1" x14ac:dyDescent="0.4">
      <c r="B63" s="329" t="s">
        <v>59</v>
      </c>
      <c r="C63" s="444">
        <v>29</v>
      </c>
      <c r="D63" s="277"/>
      <c r="E63" s="277"/>
      <c r="F63" s="445">
        <v>1000</v>
      </c>
      <c r="G63" s="41"/>
      <c r="H63" s="41"/>
      <c r="I63" s="8"/>
      <c r="J63" s="201"/>
      <c r="K63" s="8"/>
    </row>
    <row r="64" spans="2:16" ht="15" hidden="1" customHeight="1" x14ac:dyDescent="0.4">
      <c r="B64" s="440"/>
      <c r="C64" s="441"/>
      <c r="D64" s="442"/>
      <c r="E64" s="442"/>
      <c r="F64" s="443"/>
      <c r="G64" s="41"/>
      <c r="H64" s="41"/>
      <c r="I64" s="8"/>
      <c r="J64" s="201"/>
      <c r="K64" s="8"/>
    </row>
    <row r="65" spans="2:11" ht="15" hidden="1" customHeight="1" x14ac:dyDescent="0.4">
      <c r="B65" s="331"/>
      <c r="C65" s="331"/>
      <c r="D65" s="326"/>
      <c r="E65" s="326"/>
      <c r="F65" s="402"/>
      <c r="G65" s="41"/>
      <c r="H65" s="41"/>
      <c r="I65" s="8"/>
      <c r="J65" s="201"/>
      <c r="K65" s="8"/>
    </row>
    <row r="66" spans="2:11" ht="8.15" customHeight="1" x14ac:dyDescent="0.4">
      <c r="B66" s="210"/>
      <c r="C66" s="211"/>
      <c r="D66" s="212" t="s">
        <v>245</v>
      </c>
      <c r="E66" s="212"/>
      <c r="F66" s="213"/>
      <c r="G66" s="10"/>
      <c r="H66" s="10"/>
      <c r="I66" s="21"/>
      <c r="J66" s="201"/>
      <c r="K66" s="10"/>
    </row>
    <row r="67" spans="2:11" ht="14.15" customHeight="1" thickBot="1" x14ac:dyDescent="0.45">
      <c r="B67" s="466" t="s">
        <v>296</v>
      </c>
      <c r="C67" s="467"/>
      <c r="D67" s="467"/>
      <c r="E67" s="214"/>
      <c r="F67" s="215">
        <f>SUM(F59:F65)</f>
        <v>5000</v>
      </c>
      <c r="G67" s="10"/>
      <c r="H67" s="10"/>
      <c r="I67" s="21"/>
      <c r="J67" s="203"/>
      <c r="K67" s="10"/>
    </row>
    <row r="68" spans="2:11" ht="15.45" x14ac:dyDescent="0.4">
      <c r="B68" s="26"/>
      <c r="C68" s="8"/>
      <c r="D68" s="8"/>
      <c r="E68" s="8"/>
      <c r="F68" s="8"/>
      <c r="G68" s="10"/>
      <c r="H68" s="10"/>
      <c r="I68" s="27"/>
      <c r="J68" s="27"/>
      <c r="K68" s="10"/>
    </row>
    <row r="69" spans="2:11" ht="15.45" x14ac:dyDescent="0.4">
      <c r="B69" s="25"/>
      <c r="C69" s="8"/>
      <c r="D69" s="8"/>
      <c r="E69" s="8"/>
      <c r="F69" s="8"/>
      <c r="G69" s="41"/>
      <c r="H69" s="41"/>
      <c r="I69" s="21"/>
      <c r="J69" s="27"/>
      <c r="K69" s="10"/>
    </row>
    <row r="70" spans="2:11" ht="15.45" x14ac:dyDescent="0.4">
      <c r="B70" s="26"/>
      <c r="C70" s="8"/>
      <c r="D70" s="6"/>
      <c r="E70" s="6"/>
      <c r="F70" s="8"/>
      <c r="G70" s="10"/>
      <c r="H70" s="10"/>
      <c r="I70" s="10"/>
      <c r="J70" s="8"/>
      <c r="K70" s="10"/>
    </row>
    <row r="71" spans="2:11" ht="15.45" x14ac:dyDescent="0.4">
      <c r="F71" s="8"/>
      <c r="I71" s="27"/>
    </row>
  </sheetData>
  <mergeCells count="9">
    <mergeCell ref="B58:E58"/>
    <mergeCell ref="B67:D67"/>
    <mergeCell ref="B3:L3"/>
    <mergeCell ref="F5:J5"/>
    <mergeCell ref="G7:G8"/>
    <mergeCell ref="H7:H8"/>
    <mergeCell ref="I7:I8"/>
    <mergeCell ref="J7:K7"/>
    <mergeCell ref="L7:L8"/>
  </mergeCells>
  <pageMargins left="0" right="0" top="0" bottom="0" header="0.3" footer="0.3"/>
  <pageSetup paperSize="9" scale="80"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9C36CB-ECE1-4BD5-A8DF-1B5CB0A9223C}">
  <dimension ref="B1:S93"/>
  <sheetViews>
    <sheetView tabSelected="1" workbookViewId="0">
      <selection activeCell="O34" sqref="O34"/>
    </sheetView>
  </sheetViews>
  <sheetFormatPr defaultRowHeight="14.6" x14ac:dyDescent="0.4"/>
  <cols>
    <col min="1" max="1" width="2.07421875" customWidth="1"/>
    <col min="2" max="2" width="1.3046875" customWidth="1"/>
    <col min="3" max="3" width="12.15234375" customWidth="1"/>
    <col min="4" max="4" width="0.53515625" customWidth="1"/>
    <col min="5" max="5" width="6.84375" customWidth="1"/>
    <col min="6" max="6" width="1.4609375" customWidth="1"/>
    <col min="7" max="7" width="11.3046875" customWidth="1"/>
    <col min="8" max="8" width="15.61328125" customWidth="1"/>
    <col min="9" max="9" width="15" customWidth="1"/>
    <col min="10" max="10" width="29.23046875" customWidth="1"/>
    <col min="11" max="11" width="12.61328125" customWidth="1"/>
    <col min="12" max="12" width="3" customWidth="1"/>
    <col min="13" max="13" width="16.15234375" customWidth="1"/>
    <col min="14" max="14" width="1" customWidth="1"/>
    <col min="15" max="15" width="12.84375" customWidth="1"/>
    <col min="16" max="16" width="10.07421875" bestFit="1" customWidth="1"/>
    <col min="17" max="17" width="11.4609375" customWidth="1"/>
  </cols>
  <sheetData>
    <row r="1" spans="3:15" ht="6" customHeight="1" x14ac:dyDescent="0.4"/>
    <row r="2" spans="3:15" ht="6" customHeight="1" x14ac:dyDescent="0.4"/>
    <row r="3" spans="3:15" ht="20.149999999999999" customHeight="1" x14ac:dyDescent="0.4">
      <c r="C3" s="476" t="s">
        <v>0</v>
      </c>
      <c r="D3" s="476"/>
      <c r="E3" s="476"/>
      <c r="F3" s="476"/>
      <c r="G3" s="476"/>
      <c r="H3" s="476"/>
      <c r="I3" s="476"/>
      <c r="J3" s="476"/>
      <c r="K3" s="476"/>
      <c r="L3" s="476"/>
      <c r="M3" s="476"/>
      <c r="N3" s="476"/>
    </row>
    <row r="4" spans="3:15" ht="20.149999999999999" customHeight="1" x14ac:dyDescent="0.45">
      <c r="C4" s="492" t="s">
        <v>936</v>
      </c>
      <c r="D4" s="492"/>
      <c r="E4" s="492"/>
      <c r="F4" s="492"/>
      <c r="G4" s="492"/>
      <c r="H4" s="492"/>
      <c r="I4" s="492"/>
      <c r="J4" s="492"/>
      <c r="K4" s="492"/>
      <c r="L4" s="492"/>
      <c r="M4" s="492"/>
      <c r="N4" s="460"/>
    </row>
    <row r="5" spans="3:15" ht="20.149999999999999" customHeight="1" x14ac:dyDescent="0.45">
      <c r="C5" s="492" t="s">
        <v>245</v>
      </c>
      <c r="D5" s="492"/>
      <c r="E5" s="492"/>
      <c r="F5" s="492"/>
      <c r="G5" s="492"/>
      <c r="H5" s="492"/>
      <c r="I5" s="492"/>
      <c r="J5" s="492"/>
      <c r="K5" s="492"/>
      <c r="L5" s="492"/>
      <c r="M5" s="492"/>
      <c r="N5" s="460"/>
    </row>
    <row r="6" spans="3:15" ht="20.149999999999999" customHeight="1" x14ac:dyDescent="0.45">
      <c r="C6" s="476" t="s">
        <v>318</v>
      </c>
      <c r="D6" s="476"/>
      <c r="E6" s="476"/>
      <c r="F6" s="476"/>
      <c r="G6" s="476"/>
      <c r="H6" s="476"/>
      <c r="I6" s="476"/>
      <c r="J6" s="476"/>
      <c r="K6" s="476"/>
      <c r="L6" s="476"/>
      <c r="M6" s="476"/>
      <c r="N6" s="460"/>
    </row>
    <row r="7" spans="3:15" ht="20.149999999999999" customHeight="1" x14ac:dyDescent="0.45">
      <c r="C7" s="476" t="s">
        <v>923</v>
      </c>
      <c r="D7" s="476"/>
      <c r="E7" s="476"/>
      <c r="F7" s="476"/>
      <c r="G7" s="476"/>
      <c r="H7" s="476"/>
      <c r="I7" s="476"/>
      <c r="J7" s="476"/>
      <c r="K7" s="476"/>
      <c r="L7" s="476"/>
      <c r="M7" s="476"/>
      <c r="N7" s="221"/>
    </row>
    <row r="8" spans="3:15" ht="15" customHeight="1" x14ac:dyDescent="0.4"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</row>
    <row r="9" spans="3:15" ht="15" customHeight="1" x14ac:dyDescent="0.45">
      <c r="C9" s="457" t="s">
        <v>924</v>
      </c>
      <c r="D9" s="221"/>
      <c r="E9" s="221"/>
      <c r="F9" s="221"/>
      <c r="G9" s="221"/>
      <c r="H9" s="221"/>
      <c r="I9" s="221"/>
      <c r="J9" s="221"/>
      <c r="K9" s="221"/>
      <c r="L9" s="458" t="s">
        <v>326</v>
      </c>
      <c r="M9" s="219">
        <v>7407.7500000000091</v>
      </c>
      <c r="N9" s="8"/>
      <c r="O9" s="135" t="s">
        <v>245</v>
      </c>
    </row>
    <row r="10" spans="3:15" ht="15" customHeight="1" x14ac:dyDescent="0.45">
      <c r="C10" s="221"/>
      <c r="D10" s="221"/>
      <c r="E10" s="221"/>
      <c r="F10" s="221"/>
      <c r="G10" s="221"/>
      <c r="H10" s="221"/>
      <c r="I10" s="221"/>
      <c r="J10" s="221"/>
      <c r="K10" s="221"/>
      <c r="L10" s="8"/>
      <c r="M10" s="8"/>
      <c r="N10" s="8"/>
    </row>
    <row r="11" spans="3:15" ht="15" customHeight="1" x14ac:dyDescent="0.45">
      <c r="C11" s="457" t="s">
        <v>925</v>
      </c>
      <c r="D11" s="457"/>
      <c r="E11" s="221"/>
      <c r="F11" s="221"/>
      <c r="G11" s="221"/>
      <c r="H11" s="221"/>
      <c r="I11" s="221"/>
      <c r="J11" s="221"/>
      <c r="K11" s="221"/>
      <c r="L11" s="8"/>
      <c r="M11" s="8"/>
      <c r="N11" s="8"/>
    </row>
    <row r="12" spans="3:15" ht="15" customHeight="1" x14ac:dyDescent="0.45">
      <c r="C12" s="221"/>
      <c r="D12" s="221"/>
      <c r="E12" s="221"/>
      <c r="F12" s="221"/>
      <c r="G12" s="221"/>
      <c r="H12" s="221"/>
      <c r="I12" s="455" t="s">
        <v>245</v>
      </c>
      <c r="J12" s="455"/>
      <c r="K12" s="455" t="s">
        <v>245</v>
      </c>
      <c r="L12" s="454"/>
      <c r="M12" s="8"/>
      <c r="N12" s="8"/>
    </row>
    <row r="13" spans="3:15" ht="15" customHeight="1" x14ac:dyDescent="0.45">
      <c r="C13" s="476" t="s">
        <v>305</v>
      </c>
      <c r="D13" s="476"/>
      <c r="E13" s="476"/>
      <c r="F13" s="221"/>
      <c r="G13" s="221" t="s">
        <v>320</v>
      </c>
      <c r="H13" s="221"/>
      <c r="I13" s="455"/>
      <c r="J13" s="455"/>
      <c r="K13" s="455"/>
      <c r="L13" s="454"/>
      <c r="M13" s="8"/>
      <c r="N13" s="8"/>
    </row>
    <row r="14" spans="3:15" ht="15" customHeight="1" x14ac:dyDescent="0.45">
      <c r="C14" s="456"/>
      <c r="D14" s="456"/>
      <c r="E14" s="456"/>
      <c r="F14" s="221"/>
      <c r="G14" s="221"/>
      <c r="H14" s="221"/>
      <c r="I14" s="455"/>
      <c r="J14" s="455"/>
      <c r="K14" s="455"/>
      <c r="L14" s="454"/>
      <c r="M14" s="8"/>
      <c r="N14" s="8"/>
    </row>
    <row r="15" spans="3:15" ht="15" customHeight="1" x14ac:dyDescent="0.45">
      <c r="C15" s="476" t="s">
        <v>245</v>
      </c>
      <c r="D15" s="476"/>
      <c r="E15" s="476"/>
      <c r="F15" s="221"/>
      <c r="G15" s="221"/>
      <c r="H15" s="239" t="s">
        <v>316</v>
      </c>
      <c r="I15" s="239" t="s">
        <v>2</v>
      </c>
      <c r="J15" s="239" t="s">
        <v>407</v>
      </c>
      <c r="K15" s="239" t="s">
        <v>306</v>
      </c>
      <c r="L15" s="454"/>
      <c r="M15" s="8"/>
      <c r="N15" s="8"/>
    </row>
    <row r="16" spans="3:15" ht="15" customHeight="1" x14ac:dyDescent="0.45">
      <c r="C16" s="221"/>
      <c r="D16" s="221"/>
      <c r="E16" s="455" t="s">
        <v>245</v>
      </c>
      <c r="F16" s="455"/>
      <c r="G16" s="240" t="s">
        <v>245</v>
      </c>
      <c r="H16" s="222" t="s">
        <v>245</v>
      </c>
      <c r="I16" s="241" t="s">
        <v>245</v>
      </c>
      <c r="J16" s="241"/>
      <c r="K16" s="230" t="s">
        <v>245</v>
      </c>
      <c r="L16" s="201"/>
      <c r="M16" s="8"/>
      <c r="N16" s="8"/>
    </row>
    <row r="17" spans="3:16" ht="20.149999999999999" customHeight="1" x14ac:dyDescent="0.45">
      <c r="C17" s="221"/>
      <c r="D17" s="221"/>
      <c r="E17" s="455" t="s">
        <v>60</v>
      </c>
      <c r="F17" s="455"/>
      <c r="G17" s="240" t="s">
        <v>140</v>
      </c>
      <c r="H17" s="222">
        <v>1783</v>
      </c>
      <c r="I17" s="222">
        <v>200</v>
      </c>
      <c r="J17" s="222">
        <v>0</v>
      </c>
      <c r="K17" s="222">
        <f>H17-I17-J17</f>
        <v>1583</v>
      </c>
      <c r="L17" s="216"/>
      <c r="M17" s="8"/>
      <c r="N17" s="8"/>
    </row>
    <row r="18" spans="3:16" ht="20.149999999999999" customHeight="1" x14ac:dyDescent="0.45">
      <c r="C18" s="221"/>
      <c r="D18" s="221"/>
      <c r="E18" s="455" t="s">
        <v>60</v>
      </c>
      <c r="F18" s="455"/>
      <c r="G18" s="240">
        <v>13</v>
      </c>
      <c r="H18" s="222">
        <v>1952</v>
      </c>
      <c r="I18" s="222">
        <v>400</v>
      </c>
      <c r="J18" s="222"/>
      <c r="K18" s="222">
        <f t="shared" ref="K18:K27" si="0">H18-I18-J18</f>
        <v>1552</v>
      </c>
      <c r="L18" s="216"/>
      <c r="M18" s="8"/>
      <c r="N18" s="8"/>
    </row>
    <row r="19" spans="3:16" ht="20.149999999999999" customHeight="1" x14ac:dyDescent="0.45">
      <c r="C19" s="221"/>
      <c r="D19" s="221"/>
      <c r="E19" s="455" t="s">
        <v>60</v>
      </c>
      <c r="F19" s="455"/>
      <c r="G19" s="240">
        <v>20</v>
      </c>
      <c r="H19" s="222">
        <v>1713</v>
      </c>
      <c r="I19" s="222">
        <v>400</v>
      </c>
      <c r="J19" s="222"/>
      <c r="K19" s="222">
        <f t="shared" si="0"/>
        <v>1313</v>
      </c>
      <c r="L19" s="216"/>
      <c r="M19" s="8"/>
      <c r="N19" s="8"/>
    </row>
    <row r="20" spans="3:16" ht="20.149999999999999" customHeight="1" x14ac:dyDescent="0.75">
      <c r="C20" s="221"/>
      <c r="D20" s="221"/>
      <c r="E20" s="455" t="s">
        <v>60</v>
      </c>
      <c r="F20" s="455"/>
      <c r="G20" s="240">
        <v>27</v>
      </c>
      <c r="H20" s="266">
        <v>1819</v>
      </c>
      <c r="I20" s="266">
        <v>400</v>
      </c>
      <c r="J20" s="266">
        <v>0</v>
      </c>
      <c r="K20" s="266">
        <f t="shared" si="0"/>
        <v>1419</v>
      </c>
      <c r="L20" s="216"/>
      <c r="M20" s="8"/>
      <c r="N20" s="8"/>
      <c r="O20" t="s">
        <v>245</v>
      </c>
      <c r="P20" t="s">
        <v>245</v>
      </c>
    </row>
    <row r="21" spans="3:16" ht="20.149999999999999" hidden="1" customHeight="1" x14ac:dyDescent="0.45">
      <c r="C21" s="221"/>
      <c r="D21" s="221"/>
      <c r="E21" s="455"/>
      <c r="F21" s="455"/>
      <c r="G21" s="240"/>
      <c r="H21" s="222"/>
      <c r="I21" s="222"/>
      <c r="J21" s="222"/>
      <c r="K21" s="222"/>
      <c r="L21" s="216"/>
      <c r="M21" s="8"/>
      <c r="N21" s="8"/>
    </row>
    <row r="22" spans="3:16" ht="20.149999999999999" hidden="1" customHeight="1" x14ac:dyDescent="0.45">
      <c r="C22" s="221"/>
      <c r="D22" s="221"/>
      <c r="E22" s="455"/>
      <c r="F22" s="455"/>
      <c r="G22" s="240"/>
      <c r="H22" s="222"/>
      <c r="I22" s="222"/>
      <c r="J22" s="222"/>
      <c r="K22" s="222"/>
      <c r="L22" s="216"/>
      <c r="M22" s="8"/>
      <c r="N22" s="8"/>
    </row>
    <row r="23" spans="3:16" ht="20.149999999999999" hidden="1" customHeight="1" x14ac:dyDescent="0.45">
      <c r="C23" s="221"/>
      <c r="D23" s="221"/>
      <c r="E23" s="455"/>
      <c r="F23" s="455"/>
      <c r="G23" s="240"/>
      <c r="H23" s="222"/>
      <c r="I23" s="222"/>
      <c r="J23" s="222"/>
      <c r="K23" s="222"/>
      <c r="L23" s="216"/>
      <c r="M23" s="8"/>
      <c r="N23" s="8"/>
    </row>
    <row r="24" spans="3:16" ht="20.149999999999999" hidden="1" customHeight="1" x14ac:dyDescent="0.45">
      <c r="C24" s="221"/>
      <c r="D24" s="221"/>
      <c r="E24" s="455"/>
      <c r="F24" s="455"/>
      <c r="G24" s="240"/>
      <c r="H24" s="222"/>
      <c r="I24" s="222"/>
      <c r="J24" s="222"/>
      <c r="K24" s="222"/>
      <c r="L24" s="216"/>
      <c r="M24" s="8"/>
      <c r="N24" s="8"/>
    </row>
    <row r="25" spans="3:16" ht="20.149999999999999" hidden="1" customHeight="1" x14ac:dyDescent="0.45">
      <c r="C25" s="221"/>
      <c r="D25" s="221"/>
      <c r="E25" s="455"/>
      <c r="F25" s="455"/>
      <c r="G25" s="240"/>
      <c r="H25" s="222"/>
      <c r="I25" s="222"/>
      <c r="J25" s="222"/>
      <c r="K25" s="222"/>
      <c r="L25" s="216"/>
      <c r="M25" s="8"/>
      <c r="N25" s="8"/>
    </row>
    <row r="26" spans="3:16" ht="20.149999999999999" hidden="1" customHeight="1" x14ac:dyDescent="0.45">
      <c r="C26" s="221"/>
      <c r="D26" s="221"/>
      <c r="E26" s="455" t="s">
        <v>245</v>
      </c>
      <c r="F26" s="455"/>
      <c r="G26" s="240" t="s">
        <v>245</v>
      </c>
      <c r="H26" s="222">
        <v>0</v>
      </c>
      <c r="I26" s="222">
        <v>0</v>
      </c>
      <c r="J26" s="222">
        <v>0</v>
      </c>
      <c r="K26" s="222">
        <f t="shared" ref="K26" si="1">H26-I26-J26</f>
        <v>0</v>
      </c>
      <c r="L26" s="216"/>
      <c r="M26" s="8"/>
      <c r="N26" s="8"/>
    </row>
    <row r="27" spans="3:16" ht="20.149999999999999" hidden="1" customHeight="1" x14ac:dyDescent="0.75">
      <c r="C27" s="221"/>
      <c r="D27" s="221"/>
      <c r="E27" s="455" t="s">
        <v>245</v>
      </c>
      <c r="F27" s="455"/>
      <c r="G27" s="240" t="s">
        <v>245</v>
      </c>
      <c r="H27" s="265">
        <v>0</v>
      </c>
      <c r="I27" s="266">
        <v>0</v>
      </c>
      <c r="J27" s="266">
        <v>0</v>
      </c>
      <c r="K27" s="266">
        <f t="shared" si="0"/>
        <v>0</v>
      </c>
      <c r="L27" s="216"/>
      <c r="M27" s="8"/>
      <c r="N27" s="8"/>
      <c r="O27" s="272"/>
    </row>
    <row r="28" spans="3:16" ht="20.149999999999999" hidden="1" customHeight="1" x14ac:dyDescent="0.45">
      <c r="C28" s="221"/>
      <c r="D28" s="221"/>
      <c r="E28" s="336" t="s">
        <v>67</v>
      </c>
      <c r="F28" s="455"/>
      <c r="G28" s="240">
        <v>18</v>
      </c>
      <c r="H28" s="337">
        <v>0</v>
      </c>
      <c r="I28" s="222">
        <v>0</v>
      </c>
      <c r="J28" s="222">
        <v>0</v>
      </c>
      <c r="K28" s="222">
        <f>H28-I28</f>
        <v>0</v>
      </c>
      <c r="L28" s="216"/>
      <c r="M28" s="8"/>
      <c r="N28" s="8"/>
      <c r="O28" s="272"/>
    </row>
    <row r="29" spans="3:16" ht="20.149999999999999" hidden="1" customHeight="1" x14ac:dyDescent="0.45">
      <c r="C29" s="221"/>
      <c r="D29" s="221"/>
      <c r="E29" s="336" t="s">
        <v>67</v>
      </c>
      <c r="F29" s="455"/>
      <c r="G29" s="240">
        <v>19</v>
      </c>
      <c r="H29" s="337">
        <v>0</v>
      </c>
      <c r="I29" s="222">
        <v>0</v>
      </c>
      <c r="J29" s="222">
        <v>0</v>
      </c>
      <c r="K29" s="222">
        <f>H29-I29</f>
        <v>0</v>
      </c>
      <c r="L29" s="216"/>
      <c r="M29" s="8"/>
      <c r="N29" s="8"/>
      <c r="O29" s="272"/>
    </row>
    <row r="30" spans="3:16" ht="20.149999999999999" hidden="1" customHeight="1" x14ac:dyDescent="0.45">
      <c r="C30" s="221"/>
      <c r="D30" s="221"/>
      <c r="E30" s="455" t="s">
        <v>67</v>
      </c>
      <c r="F30" s="455"/>
      <c r="G30" s="240">
        <v>20</v>
      </c>
      <c r="H30" s="223">
        <v>0</v>
      </c>
      <c r="I30" s="222">
        <v>0</v>
      </c>
      <c r="J30" s="222">
        <v>0</v>
      </c>
      <c r="K30" s="222">
        <f>H30-I30</f>
        <v>0</v>
      </c>
      <c r="L30" s="216"/>
      <c r="M30" s="8"/>
      <c r="N30" s="8"/>
    </row>
    <row r="31" spans="3:16" ht="20.149999999999999" hidden="1" customHeight="1" x14ac:dyDescent="0.75">
      <c r="C31" s="221"/>
      <c r="D31" s="221"/>
      <c r="E31" s="455" t="s">
        <v>67</v>
      </c>
      <c r="F31" s="455"/>
      <c r="G31" s="240">
        <v>27</v>
      </c>
      <c r="H31" s="265">
        <v>0</v>
      </c>
      <c r="I31" s="266">
        <v>0</v>
      </c>
      <c r="J31" s="266">
        <v>0</v>
      </c>
      <c r="K31" s="266">
        <f>H31-I31</f>
        <v>0</v>
      </c>
      <c r="L31" s="216"/>
      <c r="M31" s="44" t="s">
        <v>245</v>
      </c>
      <c r="N31" s="8"/>
      <c r="O31" t="s">
        <v>355</v>
      </c>
    </row>
    <row r="32" spans="3:16" ht="15" customHeight="1" x14ac:dyDescent="0.45">
      <c r="C32" s="221"/>
      <c r="D32" s="221"/>
      <c r="E32" s="455"/>
      <c r="F32" s="455"/>
      <c r="G32" s="240"/>
      <c r="H32" s="223"/>
      <c r="I32" s="222"/>
      <c r="J32" s="222"/>
      <c r="K32" s="222"/>
      <c r="L32" s="216"/>
      <c r="M32" s="44"/>
      <c r="N32" s="8"/>
    </row>
    <row r="33" spans="3:16" ht="15" customHeight="1" x14ac:dyDescent="0.45">
      <c r="C33" s="221"/>
      <c r="D33" s="221"/>
      <c r="E33" s="456" t="s">
        <v>65</v>
      </c>
      <c r="F33" s="221"/>
      <c r="G33" s="455"/>
      <c r="H33" s="288">
        <f>SUM(H17:H31)</f>
        <v>7267</v>
      </c>
      <c r="I33" s="296">
        <f>SUM(I17:I31)</f>
        <v>1400</v>
      </c>
      <c r="J33" s="288">
        <f>SUM(J17:J31)</f>
        <v>0</v>
      </c>
      <c r="K33" s="248">
        <f>SUM(K17:K31)</f>
        <v>5867</v>
      </c>
      <c r="L33" s="218"/>
      <c r="M33" s="44" t="s">
        <v>245</v>
      </c>
      <c r="N33" s="8"/>
      <c r="O33" s="7">
        <f>K33-P33</f>
        <v>86</v>
      </c>
      <c r="P33" s="510">
        <v>5781</v>
      </c>
    </row>
    <row r="34" spans="3:16" ht="15" customHeight="1" x14ac:dyDescent="0.45">
      <c r="C34" s="221"/>
      <c r="D34" s="221"/>
      <c r="E34" s="221"/>
      <c r="F34" s="221"/>
      <c r="G34" s="455"/>
      <c r="H34" s="224"/>
      <c r="I34" s="222"/>
      <c r="J34" s="222"/>
      <c r="K34" s="222"/>
      <c r="L34" s="216"/>
      <c r="M34" s="44"/>
      <c r="N34" s="8"/>
    </row>
    <row r="35" spans="3:16" ht="15" customHeight="1" x14ac:dyDescent="0.45">
      <c r="C35" s="221"/>
      <c r="D35" s="221"/>
      <c r="E35" s="221"/>
      <c r="F35" s="221"/>
      <c r="G35" s="455"/>
      <c r="H35" s="224"/>
      <c r="I35" s="222"/>
      <c r="J35" s="222"/>
      <c r="K35" s="222"/>
      <c r="L35" s="216"/>
      <c r="M35" s="44"/>
      <c r="N35" s="8"/>
    </row>
    <row r="36" spans="3:16" ht="15" customHeight="1" x14ac:dyDescent="0.45">
      <c r="C36" s="457" t="s">
        <v>748</v>
      </c>
      <c r="D36" s="457"/>
      <c r="E36" s="457"/>
      <c r="F36" s="457"/>
      <c r="G36" s="457"/>
      <c r="H36" s="457"/>
      <c r="I36" s="457"/>
      <c r="J36" s="461"/>
      <c r="K36" s="219" t="s">
        <v>245</v>
      </c>
      <c r="L36" s="219"/>
      <c r="M36" s="225" t="s">
        <v>245</v>
      </c>
      <c r="N36" s="8"/>
    </row>
    <row r="37" spans="3:16" ht="15" customHeight="1" x14ac:dyDescent="0.45">
      <c r="C37" s="457"/>
      <c r="D37" s="221"/>
      <c r="E37" s="221"/>
      <c r="F37" s="221"/>
      <c r="G37" s="221"/>
      <c r="H37" s="455"/>
      <c r="I37" s="230"/>
      <c r="J37" s="230"/>
      <c r="K37" s="219"/>
      <c r="L37" s="219"/>
      <c r="M37" s="225"/>
      <c r="N37" s="8"/>
    </row>
    <row r="38" spans="3:16" ht="22.95" customHeight="1" x14ac:dyDescent="0.85">
      <c r="C38" s="457"/>
      <c r="D38" s="221"/>
      <c r="E38" s="457" t="s">
        <v>674</v>
      </c>
      <c r="F38" s="457"/>
      <c r="G38" s="457"/>
      <c r="H38" s="457"/>
      <c r="I38" s="230"/>
      <c r="J38" s="230"/>
      <c r="K38" s="446">
        <v>0</v>
      </c>
      <c r="L38" s="219"/>
      <c r="M38" s="447">
        <f>SUM(K31:K38)</f>
        <v>5867</v>
      </c>
      <c r="N38" s="8"/>
      <c r="O38" s="304"/>
      <c r="P38" s="135"/>
    </row>
    <row r="39" spans="3:16" ht="15" customHeight="1" x14ac:dyDescent="0.75">
      <c r="C39" s="242"/>
      <c r="D39" s="459"/>
      <c r="E39" s="460"/>
      <c r="F39" s="459"/>
      <c r="G39" s="455"/>
      <c r="H39" s="455"/>
      <c r="I39" s="455"/>
      <c r="J39" s="455"/>
      <c r="K39" s="222"/>
      <c r="L39" s="222"/>
      <c r="M39" s="244"/>
      <c r="N39" s="8"/>
    </row>
    <row r="40" spans="3:16" ht="20.149999999999999" hidden="1" customHeight="1" x14ac:dyDescent="0.85">
      <c r="C40" s="457" t="s">
        <v>854</v>
      </c>
      <c r="D40" s="457"/>
      <c r="E40" s="221"/>
      <c r="F40" s="221"/>
      <c r="G40" s="221"/>
      <c r="H40" s="221"/>
      <c r="I40" s="221"/>
      <c r="J40" s="221"/>
      <c r="K40" s="446">
        <v>0</v>
      </c>
      <c r="L40" s="221"/>
      <c r="M40" s="447">
        <f>SUM(K33:K40)</f>
        <v>5867</v>
      </c>
      <c r="N40" s="8"/>
      <c r="P40" s="135"/>
    </row>
    <row r="41" spans="3:16" ht="18" customHeight="1" x14ac:dyDescent="0.45">
      <c r="C41" s="457"/>
      <c r="D41" s="457"/>
      <c r="E41" s="505" t="s">
        <v>245</v>
      </c>
      <c r="F41" s="505"/>
      <c r="G41" s="505"/>
      <c r="H41" s="221"/>
      <c r="I41" s="221"/>
      <c r="J41" s="221"/>
      <c r="K41" s="355" t="s">
        <v>245</v>
      </c>
      <c r="L41" s="221"/>
      <c r="M41" s="353"/>
      <c r="N41" s="8"/>
      <c r="P41" s="135"/>
    </row>
    <row r="42" spans="3:16" ht="20.149999999999999" customHeight="1" x14ac:dyDescent="0.45">
      <c r="C42" s="457" t="s">
        <v>313</v>
      </c>
      <c r="D42" s="457"/>
      <c r="E42" s="221"/>
      <c r="F42" s="221"/>
      <c r="G42" s="221"/>
      <c r="H42" s="221"/>
      <c r="I42" s="221"/>
      <c r="J42" s="221"/>
      <c r="K42" s="221"/>
      <c r="L42" s="458" t="s">
        <v>326</v>
      </c>
      <c r="M42" s="219">
        <f>M9+M38</f>
        <v>13274.750000000009</v>
      </c>
      <c r="N42" s="8"/>
      <c r="O42" t="s">
        <v>245</v>
      </c>
    </row>
    <row r="43" spans="3:16" ht="13.5" customHeight="1" x14ac:dyDescent="0.45">
      <c r="C43" s="457"/>
      <c r="D43" s="457"/>
      <c r="E43" s="221"/>
      <c r="F43" s="221"/>
      <c r="G43" s="221"/>
      <c r="H43" s="221"/>
      <c r="I43" s="221"/>
      <c r="J43" s="221"/>
      <c r="K43" s="221"/>
      <c r="L43" s="221"/>
      <c r="M43" s="221"/>
      <c r="N43" s="8"/>
    </row>
    <row r="44" spans="3:16" ht="13.5" customHeight="1" x14ac:dyDescent="0.45">
      <c r="C44" s="457"/>
      <c r="D44" s="457"/>
      <c r="E44" s="221"/>
      <c r="F44" s="221"/>
      <c r="G44" s="221"/>
      <c r="H44" s="221"/>
      <c r="I44" s="221"/>
      <c r="J44" s="221"/>
      <c r="K44" s="221"/>
      <c r="L44" s="221"/>
      <c r="M44" s="221"/>
      <c r="N44" s="8"/>
    </row>
    <row r="45" spans="3:16" ht="13.5" customHeight="1" x14ac:dyDescent="0.45">
      <c r="C45" s="457" t="s">
        <v>926</v>
      </c>
      <c r="D45" s="457"/>
      <c r="E45" s="221"/>
      <c r="F45" s="221"/>
      <c r="G45" s="221"/>
      <c r="H45" s="221"/>
      <c r="I45" s="221"/>
      <c r="J45" s="221"/>
      <c r="K45" s="221"/>
      <c r="L45" s="221"/>
      <c r="M45" s="221"/>
      <c r="N45" s="8"/>
    </row>
    <row r="46" spans="3:16" ht="15" customHeight="1" x14ac:dyDescent="0.45">
      <c r="C46" s="221" t="s">
        <v>245</v>
      </c>
      <c r="D46" s="221"/>
      <c r="E46" s="221" t="s">
        <v>245</v>
      </c>
      <c r="F46" s="221"/>
      <c r="G46" s="221"/>
      <c r="H46" s="221"/>
      <c r="I46" s="221"/>
      <c r="J46" s="221"/>
      <c r="K46" s="221"/>
      <c r="L46" s="221"/>
      <c r="M46" s="221"/>
      <c r="N46" s="8"/>
    </row>
    <row r="47" spans="3:16" ht="15" customHeight="1" x14ac:dyDescent="0.45">
      <c r="C47" s="239" t="s">
        <v>5</v>
      </c>
      <c r="D47" s="455"/>
      <c r="E47" s="455" t="s">
        <v>257</v>
      </c>
      <c r="F47" s="455"/>
      <c r="G47" s="487" t="s">
        <v>373</v>
      </c>
      <c r="H47" s="487"/>
      <c r="I47" s="487"/>
      <c r="J47" s="459"/>
      <c r="K47" s="459" t="s">
        <v>123</v>
      </c>
      <c r="L47" s="221"/>
      <c r="M47" s="455" t="s">
        <v>245</v>
      </c>
      <c r="N47" s="454"/>
    </row>
    <row r="48" spans="3:16" ht="15" customHeight="1" x14ac:dyDescent="0.45">
      <c r="C48" s="455"/>
      <c r="D48" s="455"/>
      <c r="E48" s="455"/>
      <c r="F48" s="455"/>
      <c r="G48" s="221"/>
      <c r="H48" s="221"/>
      <c r="I48" s="221"/>
      <c r="J48" s="221"/>
      <c r="K48" s="221"/>
      <c r="L48" s="221"/>
      <c r="M48" s="455"/>
      <c r="N48" s="454"/>
    </row>
    <row r="49" spans="3:14" ht="20.149999999999999" customHeight="1" x14ac:dyDescent="0.45">
      <c r="C49" s="292" t="s">
        <v>927</v>
      </c>
      <c r="D49" s="455"/>
      <c r="E49" s="455"/>
      <c r="F49" s="455"/>
      <c r="G49" s="228" t="s">
        <v>751</v>
      </c>
      <c r="H49" s="221"/>
      <c r="I49" s="221"/>
      <c r="J49" s="221"/>
      <c r="K49" s="222">
        <v>282.39999999999998</v>
      </c>
      <c r="L49" s="221"/>
      <c r="M49" s="455"/>
      <c r="N49" s="454"/>
    </row>
    <row r="50" spans="3:14" ht="20.149999999999999" hidden="1" customHeight="1" x14ac:dyDescent="0.45">
      <c r="C50" s="292"/>
      <c r="D50" s="455"/>
      <c r="E50" s="455"/>
      <c r="F50" s="455"/>
      <c r="G50" s="228"/>
      <c r="H50" s="221" t="s">
        <v>796</v>
      </c>
      <c r="I50" s="221"/>
      <c r="J50" s="221"/>
      <c r="K50" s="222"/>
      <c r="L50" s="221"/>
      <c r="M50" s="455"/>
      <c r="N50" s="454"/>
    </row>
    <row r="51" spans="3:14" ht="20.149999999999999" customHeight="1" x14ac:dyDescent="0.45">
      <c r="C51" s="292" t="s">
        <v>927</v>
      </c>
      <c r="D51" s="455"/>
      <c r="E51" s="455"/>
      <c r="F51" s="455"/>
      <c r="G51" s="228" t="s">
        <v>937</v>
      </c>
      <c r="H51" s="221"/>
      <c r="I51" s="221"/>
      <c r="J51" s="221"/>
      <c r="K51" s="222">
        <v>408</v>
      </c>
      <c r="L51" s="221"/>
      <c r="M51" s="455"/>
      <c r="N51" s="454"/>
    </row>
    <row r="52" spans="3:14" ht="20.149999999999999" hidden="1" customHeight="1" x14ac:dyDescent="0.45">
      <c r="C52" s="292" t="s">
        <v>897</v>
      </c>
      <c r="D52" s="455"/>
      <c r="E52" s="455"/>
      <c r="F52" s="455"/>
      <c r="G52" s="228"/>
      <c r="H52" s="221" t="s">
        <v>798</v>
      </c>
      <c r="I52" s="221"/>
      <c r="J52" s="221"/>
      <c r="K52" s="222"/>
      <c r="L52" s="221"/>
      <c r="M52" s="455"/>
      <c r="N52" s="454"/>
    </row>
    <row r="53" spans="3:14" ht="20.149999999999999" customHeight="1" x14ac:dyDescent="0.45">
      <c r="C53" s="292" t="s">
        <v>928</v>
      </c>
      <c r="D53" s="455"/>
      <c r="E53" s="455"/>
      <c r="F53" s="455"/>
      <c r="G53" s="228" t="s">
        <v>929</v>
      </c>
      <c r="H53" s="221"/>
      <c r="I53" s="221"/>
      <c r="J53" s="221"/>
      <c r="K53" s="222">
        <v>151.5</v>
      </c>
      <c r="L53" s="221"/>
      <c r="M53" s="455"/>
      <c r="N53" s="454"/>
    </row>
    <row r="54" spans="3:14" ht="20.149999999999999" customHeight="1" x14ac:dyDescent="0.45">
      <c r="C54" s="292" t="s">
        <v>928</v>
      </c>
      <c r="D54" s="455"/>
      <c r="E54" s="455"/>
      <c r="F54" s="455"/>
      <c r="G54" s="286" t="s">
        <v>938</v>
      </c>
      <c r="H54" s="221"/>
      <c r="I54" s="221"/>
      <c r="J54" s="221"/>
      <c r="K54" s="222">
        <v>601</v>
      </c>
      <c r="L54" s="221"/>
      <c r="M54" s="455"/>
      <c r="N54" s="454"/>
    </row>
    <row r="55" spans="3:14" ht="20.149999999999999" customHeight="1" x14ac:dyDescent="0.85">
      <c r="C55" s="292" t="s">
        <v>930</v>
      </c>
      <c r="D55" s="455"/>
      <c r="E55" s="455"/>
      <c r="F55" s="455"/>
      <c r="G55" s="506" t="s">
        <v>933</v>
      </c>
      <c r="H55" s="506"/>
      <c r="I55" s="506"/>
      <c r="J55" s="506"/>
      <c r="K55" s="437">
        <v>237.15</v>
      </c>
      <c r="L55" s="221"/>
      <c r="M55" s="410">
        <f>SUM(K49:K55)</f>
        <v>1680.0500000000002</v>
      </c>
      <c r="N55" s="454"/>
    </row>
    <row r="56" spans="3:14" ht="20.149999999999999" hidden="1" customHeight="1" x14ac:dyDescent="0.45">
      <c r="C56" s="292"/>
      <c r="D56" s="455"/>
      <c r="E56" s="455"/>
      <c r="F56" s="455"/>
      <c r="G56" s="228"/>
      <c r="H56" s="221"/>
      <c r="I56" s="221"/>
      <c r="J56" s="221"/>
      <c r="K56" s="222">
        <v>0</v>
      </c>
      <c r="L56" s="221"/>
      <c r="M56" s="455"/>
      <c r="N56" s="454"/>
    </row>
    <row r="57" spans="3:14" ht="20.149999999999999" hidden="1" customHeight="1" x14ac:dyDescent="0.45">
      <c r="C57" s="292"/>
      <c r="D57" s="455"/>
      <c r="E57" s="455"/>
      <c r="F57" s="455"/>
      <c r="G57" s="228"/>
      <c r="H57" s="221"/>
      <c r="I57" s="221"/>
      <c r="J57" s="221"/>
      <c r="K57" s="222">
        <v>0</v>
      </c>
      <c r="L57" s="221"/>
      <c r="M57" s="455"/>
      <c r="N57" s="454"/>
    </row>
    <row r="58" spans="3:14" ht="20.149999999999999" hidden="1" customHeight="1" x14ac:dyDescent="0.45">
      <c r="C58" s="292"/>
      <c r="D58" s="455"/>
      <c r="E58" s="455"/>
      <c r="F58" s="455"/>
      <c r="G58" s="228"/>
      <c r="H58" s="221"/>
      <c r="I58" s="221"/>
      <c r="J58" s="221"/>
      <c r="K58" s="222">
        <v>0</v>
      </c>
      <c r="L58" s="221"/>
      <c r="M58" s="455"/>
      <c r="N58" s="454"/>
    </row>
    <row r="59" spans="3:14" ht="20.149999999999999" hidden="1" customHeight="1" x14ac:dyDescent="0.45">
      <c r="C59" s="292"/>
      <c r="D59" s="455"/>
      <c r="E59" s="455"/>
      <c r="F59" s="455"/>
      <c r="G59" s="228"/>
      <c r="H59" s="221"/>
      <c r="I59" s="221"/>
      <c r="J59" s="221"/>
      <c r="K59" s="222">
        <v>0</v>
      </c>
      <c r="L59" s="221"/>
      <c r="M59" s="455"/>
      <c r="N59" s="454"/>
    </row>
    <row r="60" spans="3:14" ht="20.149999999999999" hidden="1" customHeight="1" x14ac:dyDescent="0.45">
      <c r="C60" s="292"/>
      <c r="D60" s="455"/>
      <c r="E60" s="455"/>
      <c r="F60" s="455"/>
      <c r="G60" s="228"/>
      <c r="H60" s="221"/>
      <c r="I60" s="221"/>
      <c r="J60" s="221"/>
      <c r="K60" s="222">
        <v>0</v>
      </c>
      <c r="L60" s="221"/>
      <c r="M60" s="455"/>
      <c r="N60" s="454"/>
    </row>
    <row r="61" spans="3:14" ht="20.149999999999999" hidden="1" customHeight="1" x14ac:dyDescent="0.45">
      <c r="C61" s="292"/>
      <c r="D61" s="455"/>
      <c r="E61" s="455"/>
      <c r="F61" s="455"/>
      <c r="G61" s="286"/>
      <c r="H61" s="221"/>
      <c r="I61" s="221"/>
      <c r="J61" s="221"/>
      <c r="K61" s="222">
        <v>0</v>
      </c>
      <c r="L61" s="221"/>
      <c r="M61" s="455"/>
      <c r="N61" s="454"/>
    </row>
    <row r="62" spans="3:14" ht="20.149999999999999" hidden="1" customHeight="1" x14ac:dyDescent="0.45">
      <c r="C62" s="292"/>
      <c r="D62" s="455"/>
      <c r="E62" s="455"/>
      <c r="F62" s="455"/>
      <c r="G62" s="228"/>
      <c r="H62" s="221"/>
      <c r="I62" s="221"/>
      <c r="J62" s="221"/>
      <c r="K62" s="222">
        <v>0</v>
      </c>
      <c r="L62" s="221"/>
      <c r="M62" s="455"/>
      <c r="N62" s="454"/>
    </row>
    <row r="63" spans="3:14" ht="20.149999999999999" hidden="1" customHeight="1" x14ac:dyDescent="0.45">
      <c r="C63" s="292"/>
      <c r="D63" s="438"/>
      <c r="E63" s="438"/>
      <c r="F63" s="438"/>
      <c r="G63" s="286"/>
      <c r="H63" s="287"/>
      <c r="I63" s="287"/>
      <c r="J63" s="287"/>
      <c r="K63" s="437">
        <v>0</v>
      </c>
      <c r="L63" s="221"/>
      <c r="M63" s="455"/>
      <c r="N63" s="454"/>
    </row>
    <row r="64" spans="3:14" ht="20.149999999999999" hidden="1" customHeight="1" x14ac:dyDescent="0.45">
      <c r="C64" s="292"/>
      <c r="D64" s="455"/>
      <c r="E64" s="455"/>
      <c r="F64" s="455"/>
      <c r="G64" s="228"/>
      <c r="H64" s="449"/>
      <c r="I64" s="449"/>
      <c r="J64" s="449"/>
      <c r="K64" s="222">
        <v>0</v>
      </c>
      <c r="L64" s="221"/>
      <c r="M64" s="455"/>
      <c r="N64" s="454"/>
    </row>
    <row r="65" spans="2:19" ht="20.149999999999999" customHeight="1" x14ac:dyDescent="0.45">
      <c r="C65" s="292"/>
      <c r="D65" s="438"/>
      <c r="E65" s="438"/>
      <c r="F65" s="438"/>
      <c r="G65" s="286"/>
      <c r="H65" s="287"/>
      <c r="I65" s="287"/>
      <c r="J65" s="287"/>
      <c r="K65" s="437" t="s">
        <v>245</v>
      </c>
      <c r="L65" s="221"/>
      <c r="M65" s="450" t="s">
        <v>245</v>
      </c>
      <c r="N65" s="454"/>
    </row>
    <row r="66" spans="2:19" ht="20.149999999999999" customHeight="1" x14ac:dyDescent="0.45">
      <c r="C66" s="457" t="s">
        <v>327</v>
      </c>
      <c r="D66" s="457"/>
      <c r="E66" s="221"/>
      <c r="F66" s="221"/>
      <c r="G66" s="221"/>
      <c r="H66" s="221"/>
      <c r="I66" s="221"/>
      <c r="J66" s="221"/>
      <c r="K66" s="221"/>
      <c r="L66" s="221"/>
      <c r="M66" s="231">
        <f>M42-M55</f>
        <v>11594.700000000008</v>
      </c>
      <c r="N66" s="44"/>
      <c r="O66" t="s">
        <v>245</v>
      </c>
      <c r="P66" s="7" t="s">
        <v>245</v>
      </c>
    </row>
    <row r="67" spans="2:19" ht="13.5" customHeight="1" x14ac:dyDescent="0.45">
      <c r="C67" s="221"/>
      <c r="D67" s="221"/>
      <c r="E67" s="221"/>
      <c r="F67" s="221"/>
      <c r="G67" s="221"/>
      <c r="H67" s="221"/>
      <c r="I67" s="221"/>
      <c r="J67" s="221"/>
      <c r="K67" s="221"/>
      <c r="L67" s="221"/>
      <c r="M67" s="225"/>
      <c r="N67" s="44"/>
    </row>
    <row r="68" spans="2:19" ht="20.149999999999999" customHeight="1" x14ac:dyDescent="0.45">
      <c r="C68" s="457" t="s">
        <v>931</v>
      </c>
      <c r="D68" s="221"/>
      <c r="E68" s="221"/>
      <c r="F68" s="221"/>
      <c r="G68" s="221"/>
      <c r="H68" s="221"/>
      <c r="I68" s="221"/>
      <c r="J68" s="221"/>
      <c r="K68" s="221"/>
      <c r="L68" s="221"/>
      <c r="M68" s="393">
        <v>4150.6499999999996</v>
      </c>
      <c r="N68" s="44"/>
    </row>
    <row r="69" spans="2:19" ht="20.149999999999999" hidden="1" customHeight="1" x14ac:dyDescent="0.85">
      <c r="C69" s="457"/>
      <c r="D69" s="221"/>
      <c r="E69" s="505" t="s">
        <v>769</v>
      </c>
      <c r="F69" s="505"/>
      <c r="G69" s="505"/>
      <c r="H69" s="221"/>
      <c r="I69" s="221"/>
      <c r="J69" s="221"/>
      <c r="K69" s="411">
        <v>0</v>
      </c>
      <c r="L69" s="221"/>
      <c r="M69" s="264"/>
      <c r="N69" s="44"/>
    </row>
    <row r="70" spans="2:19" ht="20.149999999999999" hidden="1" customHeight="1" x14ac:dyDescent="0.85">
      <c r="C70" s="457"/>
      <c r="D70" s="221"/>
      <c r="E70" s="505" t="s">
        <v>769</v>
      </c>
      <c r="F70" s="505"/>
      <c r="G70" s="505"/>
      <c r="H70" s="221"/>
      <c r="I70" s="221"/>
      <c r="J70" s="221"/>
      <c r="K70" s="412">
        <v>0</v>
      </c>
      <c r="L70" s="221"/>
      <c r="M70" s="264">
        <f>SUM(K69:K70)</f>
        <v>0</v>
      </c>
      <c r="N70" s="44"/>
      <c r="O70">
        <v>12450</v>
      </c>
      <c r="P70" s="135">
        <f>K70-O70</f>
        <v>-12450</v>
      </c>
    </row>
    <row r="71" spans="2:19" ht="13.5" customHeight="1" x14ac:dyDescent="0.45">
      <c r="C71" s="221"/>
      <c r="D71" s="221"/>
      <c r="E71" s="221"/>
      <c r="F71" s="221"/>
      <c r="G71" s="221"/>
      <c r="H71" s="221"/>
      <c r="I71" s="221"/>
      <c r="J71" s="221"/>
      <c r="K71" s="221"/>
      <c r="L71" s="221"/>
      <c r="M71" s="225"/>
      <c r="N71" s="44"/>
    </row>
    <row r="72" spans="2:19" ht="24.45" customHeight="1" thickBot="1" x14ac:dyDescent="0.5">
      <c r="C72" s="457" t="s">
        <v>932</v>
      </c>
      <c r="D72" s="221"/>
      <c r="E72" s="221"/>
      <c r="F72" s="221"/>
      <c r="G72" s="221"/>
      <c r="H72" s="221"/>
      <c r="I72" s="221"/>
      <c r="J72" s="221"/>
      <c r="K72" s="221"/>
      <c r="L72" s="245" t="s">
        <v>326</v>
      </c>
      <c r="M72" s="232">
        <f>M66-M68</f>
        <v>7444.0500000000084</v>
      </c>
      <c r="N72" s="8"/>
      <c r="O72" s="2">
        <v>0</v>
      </c>
      <c r="P72" s="135" t="s">
        <v>245</v>
      </c>
      <c r="Q72" s="135" t="s">
        <v>245</v>
      </c>
      <c r="R72" s="135" t="s">
        <v>712</v>
      </c>
      <c r="S72" s="135"/>
    </row>
    <row r="73" spans="2:19" ht="13.5" customHeight="1" thickTop="1" x14ac:dyDescent="0.45">
      <c r="C73" s="221"/>
      <c r="D73" s="221"/>
      <c r="E73" s="457"/>
      <c r="F73" s="457"/>
      <c r="G73" s="221"/>
      <c r="H73" s="221"/>
      <c r="I73" s="221"/>
      <c r="J73" s="221"/>
      <c r="K73" s="221"/>
      <c r="L73" s="221"/>
      <c r="M73" s="221"/>
      <c r="N73" s="8"/>
      <c r="O73" s="270"/>
      <c r="P73" t="s">
        <v>245</v>
      </c>
      <c r="Q73" t="s">
        <v>245</v>
      </c>
    </row>
    <row r="74" spans="2:19" ht="13.5" customHeight="1" thickBot="1" x14ac:dyDescent="0.45">
      <c r="C74" s="8"/>
      <c r="D74" s="8"/>
      <c r="E74" s="13"/>
      <c r="F74" s="13"/>
      <c r="G74" s="8"/>
      <c r="H74" s="8"/>
      <c r="I74" s="8"/>
      <c r="J74" s="8"/>
      <c r="K74" s="8"/>
      <c r="L74" s="8"/>
      <c r="M74" s="8"/>
      <c r="N74" s="8"/>
      <c r="P74" t="s">
        <v>245</v>
      </c>
      <c r="Q74" t="s">
        <v>245</v>
      </c>
    </row>
    <row r="75" spans="2:19" ht="13.5" customHeight="1" x14ac:dyDescent="0.45">
      <c r="B75" s="251"/>
      <c r="C75" s="493" t="s">
        <v>900</v>
      </c>
      <c r="D75" s="493"/>
      <c r="E75" s="493"/>
      <c r="F75" s="493"/>
      <c r="G75" s="493"/>
      <c r="H75" s="493"/>
      <c r="I75" s="252"/>
      <c r="J75" s="252"/>
      <c r="K75" s="252"/>
      <c r="L75" s="483" t="s">
        <v>326</v>
      </c>
      <c r="M75" s="479">
        <v>33148.449999999997</v>
      </c>
      <c r="N75" s="253"/>
    </row>
    <row r="76" spans="2:19" ht="11.15" customHeight="1" x14ac:dyDescent="0.4">
      <c r="B76" s="254"/>
      <c r="C76" s="494"/>
      <c r="D76" s="494"/>
      <c r="E76" s="494"/>
      <c r="F76" s="494"/>
      <c r="G76" s="494"/>
      <c r="H76" s="494"/>
      <c r="I76" s="457"/>
      <c r="J76" s="457"/>
      <c r="K76" s="457"/>
      <c r="L76" s="484"/>
      <c r="M76" s="503"/>
      <c r="N76" s="255"/>
    </row>
    <row r="77" spans="2:19" ht="16.2" customHeight="1" x14ac:dyDescent="0.4">
      <c r="B77" s="256"/>
      <c r="C77" s="496" t="s">
        <v>790</v>
      </c>
      <c r="D77" s="496"/>
      <c r="E77" s="496"/>
      <c r="F77" s="496"/>
      <c r="G77" s="496"/>
      <c r="H77" s="496"/>
      <c r="I77" s="233"/>
      <c r="J77" s="233"/>
      <c r="K77" s="307" t="s">
        <v>245</v>
      </c>
      <c r="L77" s="233"/>
      <c r="M77" s="261">
        <v>4150.6499999999996</v>
      </c>
      <c r="N77" s="174"/>
    </row>
    <row r="78" spans="2:19" ht="16.2" customHeight="1" thickBot="1" x14ac:dyDescent="0.5">
      <c r="B78" s="254"/>
      <c r="C78" s="511" t="s">
        <v>322</v>
      </c>
      <c r="D78" s="511"/>
      <c r="E78" s="511"/>
      <c r="F78" s="511"/>
      <c r="G78" s="511"/>
      <c r="H78" s="511"/>
      <c r="I78" s="512"/>
      <c r="J78" s="512"/>
      <c r="K78" s="303"/>
      <c r="L78" s="303"/>
      <c r="M78" s="261">
        <f>3.79-0.76</f>
        <v>3.0300000000000002</v>
      </c>
      <c r="N78" s="255"/>
    </row>
    <row r="79" spans="2:19" ht="16.2" hidden="1" customHeight="1" thickBot="1" x14ac:dyDescent="0.5">
      <c r="B79" s="254"/>
      <c r="C79" s="496" t="s">
        <v>776</v>
      </c>
      <c r="D79" s="496"/>
      <c r="E79" s="496"/>
      <c r="F79" s="496"/>
      <c r="G79" s="496"/>
      <c r="H79" s="496"/>
      <c r="I79" s="221"/>
      <c r="J79" s="221"/>
      <c r="K79" s="230"/>
      <c r="L79" s="230"/>
      <c r="M79" s="262">
        <v>0</v>
      </c>
      <c r="N79" s="255"/>
    </row>
    <row r="80" spans="2:19" ht="13.5" customHeight="1" x14ac:dyDescent="0.4">
      <c r="B80" s="251"/>
      <c r="C80" s="498" t="s">
        <v>935</v>
      </c>
      <c r="D80" s="498"/>
      <c r="E80" s="498"/>
      <c r="F80" s="498"/>
      <c r="G80" s="498"/>
      <c r="H80" s="498"/>
      <c r="I80" s="260"/>
      <c r="J80" s="260"/>
      <c r="K80" s="260"/>
      <c r="L80" s="485" t="s">
        <v>326</v>
      </c>
      <c r="M80" s="477">
        <f>SUM(M75:M78)</f>
        <v>37302.129999999997</v>
      </c>
      <c r="N80" s="253"/>
    </row>
    <row r="81" spans="2:16" ht="13.5" customHeight="1" thickBot="1" x14ac:dyDescent="0.45">
      <c r="B81" s="257"/>
      <c r="C81" s="499"/>
      <c r="D81" s="499"/>
      <c r="E81" s="499"/>
      <c r="F81" s="499"/>
      <c r="G81" s="499"/>
      <c r="H81" s="499"/>
      <c r="I81" s="258"/>
      <c r="J81" s="258"/>
      <c r="K81" s="258"/>
      <c r="L81" s="486"/>
      <c r="M81" s="478"/>
      <c r="N81" s="259"/>
      <c r="O81" s="135" t="s">
        <v>245</v>
      </c>
      <c r="P81" s="135" t="s">
        <v>245</v>
      </c>
    </row>
    <row r="82" spans="2:16" ht="13.5" customHeight="1" x14ac:dyDescent="0.4">
      <c r="C82" s="8"/>
      <c r="D82" s="8"/>
      <c r="E82" s="13"/>
      <c r="F82" s="13"/>
      <c r="G82" s="13"/>
      <c r="H82" s="13"/>
      <c r="I82" s="13"/>
      <c r="J82" s="13"/>
      <c r="K82" s="13"/>
      <c r="L82" s="13"/>
      <c r="M82" s="15" t="s">
        <v>245</v>
      </c>
      <c r="N82" s="8"/>
    </row>
    <row r="83" spans="2:16" ht="13.5" customHeight="1" x14ac:dyDescent="0.4">
      <c r="C83" s="8"/>
      <c r="D83" s="8"/>
      <c r="E83" s="13"/>
      <c r="F83" s="13"/>
      <c r="G83" s="13"/>
      <c r="H83" s="13"/>
      <c r="I83" s="13"/>
      <c r="J83" s="13"/>
      <c r="K83" s="13"/>
      <c r="L83" s="13"/>
      <c r="M83" s="15"/>
      <c r="N83" s="8"/>
    </row>
    <row r="84" spans="2:16" ht="13.5" customHeight="1" x14ac:dyDescent="0.4">
      <c r="C84" s="237" t="s">
        <v>13</v>
      </c>
      <c r="D84" s="235"/>
      <c r="E84" s="235"/>
      <c r="F84" s="235"/>
      <c r="G84" s="237" t="s">
        <v>82</v>
      </c>
      <c r="H84" s="235"/>
      <c r="I84" s="237" t="s">
        <v>289</v>
      </c>
      <c r="J84" s="234" t="s">
        <v>261</v>
      </c>
      <c r="K84" s="235"/>
      <c r="L84" s="235"/>
      <c r="M84" s="235" t="s">
        <v>245</v>
      </c>
      <c r="N84" s="8"/>
    </row>
    <row r="85" spans="2:16" ht="13.5" customHeight="1" x14ac:dyDescent="0.4"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</row>
    <row r="86" spans="2:16" ht="20.149999999999999" customHeight="1" x14ac:dyDescent="0.4">
      <c r="C86" s="234" t="s">
        <v>290</v>
      </c>
      <c r="D86" s="235"/>
      <c r="E86" s="235"/>
      <c r="F86" s="235"/>
      <c r="G86" s="234" t="s">
        <v>14</v>
      </c>
      <c r="H86" s="235"/>
      <c r="I86" s="234" t="s">
        <v>17</v>
      </c>
      <c r="J86" s="234" t="s">
        <v>8</v>
      </c>
      <c r="K86" s="235"/>
      <c r="L86" s="235"/>
      <c r="M86" s="234" t="s">
        <v>245</v>
      </c>
      <c r="N86" s="8"/>
    </row>
    <row r="87" spans="2:16" ht="13.5" customHeight="1" x14ac:dyDescent="0.4">
      <c r="C87" s="454" t="s">
        <v>317</v>
      </c>
      <c r="D87" s="8"/>
      <c r="E87" s="8"/>
      <c r="F87" s="8"/>
      <c r="G87" s="454" t="s">
        <v>15</v>
      </c>
      <c r="H87" s="8"/>
      <c r="I87" s="454" t="s">
        <v>292</v>
      </c>
      <c r="J87" s="454" t="s">
        <v>262</v>
      </c>
      <c r="K87" s="8"/>
      <c r="L87" s="8"/>
      <c r="M87" s="454" t="s">
        <v>245</v>
      </c>
      <c r="N87" s="8"/>
    </row>
    <row r="88" spans="2:16" ht="13.5" customHeight="1" x14ac:dyDescent="0.4"/>
    <row r="89" spans="2:16" ht="13.5" customHeight="1" x14ac:dyDescent="0.4"/>
    <row r="90" spans="2:16" ht="13.5" customHeight="1" x14ac:dyDescent="0.4"/>
    <row r="91" spans="2:16" ht="13.5" customHeight="1" x14ac:dyDescent="0.4"/>
    <row r="92" spans="2:16" ht="13.5" customHeight="1" x14ac:dyDescent="0.4"/>
    <row r="93" spans="2:16" ht="13.5" customHeight="1" x14ac:dyDescent="0.4"/>
  </sheetData>
  <mergeCells count="21">
    <mergeCell ref="C80:H81"/>
    <mergeCell ref="L80:L81"/>
    <mergeCell ref="M80:M81"/>
    <mergeCell ref="C75:H76"/>
    <mergeCell ref="L75:L76"/>
    <mergeCell ref="M75:M76"/>
    <mergeCell ref="C77:H77"/>
    <mergeCell ref="C78:H78"/>
    <mergeCell ref="C79:H79"/>
    <mergeCell ref="C15:E15"/>
    <mergeCell ref="E41:G41"/>
    <mergeCell ref="G47:I47"/>
    <mergeCell ref="G55:J55"/>
    <mergeCell ref="E69:G69"/>
    <mergeCell ref="E70:G70"/>
    <mergeCell ref="C3:N3"/>
    <mergeCell ref="C4:M4"/>
    <mergeCell ref="C5:M5"/>
    <mergeCell ref="C6:M6"/>
    <mergeCell ref="C7:M7"/>
    <mergeCell ref="C13:E13"/>
  </mergeCells>
  <pageMargins left="0" right="0" top="0" bottom="0" header="0.31496062992125984" footer="0.31496062992125984"/>
  <pageSetup paperSize="9" scale="80"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FDB616-340F-40B5-9D60-320A7CCEAB54}">
  <dimension ref="B2:P73"/>
  <sheetViews>
    <sheetView topLeftCell="A39" workbookViewId="0">
      <selection activeCell="B59" sqref="B59"/>
    </sheetView>
  </sheetViews>
  <sheetFormatPr defaultRowHeight="14.6" x14ac:dyDescent="0.4"/>
  <cols>
    <col min="1" max="1" width="2.3046875" customWidth="1"/>
    <col min="2" max="2" width="13.3046875" customWidth="1"/>
    <col min="3" max="3" width="4.84375" customWidth="1"/>
    <col min="4" max="4" width="12.3046875" customWidth="1"/>
    <col min="5" max="5" width="1.53515625" customWidth="1"/>
    <col min="6" max="6" width="19.84375" customWidth="1"/>
    <col min="7" max="7" width="22.3046875" customWidth="1"/>
    <col min="8" max="8" width="23.3046875" hidden="1" customWidth="1"/>
    <col min="9" max="9" width="13.69140625" customWidth="1"/>
    <col min="10" max="10" width="12.07421875" customWidth="1"/>
    <col min="11" max="12" width="12.3046875" customWidth="1"/>
    <col min="13" max="13" width="11.53515625" customWidth="1"/>
    <col min="14" max="14" width="12.4609375" customWidth="1"/>
    <col min="15" max="15" width="10.69140625" customWidth="1"/>
    <col min="16" max="16" width="12" customWidth="1"/>
  </cols>
  <sheetData>
    <row r="2" spans="2:12" x14ac:dyDescent="0.4">
      <c r="B2" s="246" t="s">
        <v>329</v>
      </c>
    </row>
    <row r="3" spans="2:12" x14ac:dyDescent="0.4">
      <c r="B3" s="246"/>
    </row>
    <row r="4" spans="2:12" x14ac:dyDescent="0.4">
      <c r="B4" s="246"/>
    </row>
    <row r="5" spans="2:12" ht="14.15" customHeight="1" x14ac:dyDescent="0.4">
      <c r="B5" s="468" t="s">
        <v>0</v>
      </c>
      <c r="C5" s="468"/>
      <c r="D5" s="468"/>
      <c r="E5" s="468"/>
      <c r="F5" s="468"/>
      <c r="G5" s="468"/>
      <c r="H5" s="468"/>
      <c r="I5" s="468"/>
      <c r="J5" s="468"/>
      <c r="K5" s="468"/>
      <c r="L5" s="468"/>
    </row>
    <row r="6" spans="2:12" ht="14.15" customHeight="1" x14ac:dyDescent="0.4">
      <c r="B6" s="454"/>
      <c r="C6" s="454"/>
      <c r="D6" s="454"/>
      <c r="E6" s="454"/>
      <c r="F6" s="454"/>
      <c r="G6" s="454" t="s">
        <v>18</v>
      </c>
      <c r="H6" s="454"/>
      <c r="I6" s="454"/>
      <c r="J6" s="454"/>
      <c r="K6" s="454"/>
      <c r="L6" s="1"/>
    </row>
    <row r="7" spans="2:12" ht="14.15" customHeight="1" x14ac:dyDescent="0.4">
      <c r="B7" s="8"/>
      <c r="C7" s="8"/>
      <c r="D7" s="8"/>
      <c r="E7" s="8"/>
      <c r="F7" s="473" t="s">
        <v>918</v>
      </c>
      <c r="G7" s="473"/>
      <c r="H7" s="473"/>
      <c r="I7" s="473"/>
      <c r="J7" s="473"/>
      <c r="K7" s="8"/>
    </row>
    <row r="8" spans="2:12" ht="14.15" customHeight="1" thickBot="1" x14ac:dyDescent="0.45">
      <c r="B8" s="8"/>
      <c r="C8" s="8"/>
      <c r="D8" s="8"/>
      <c r="E8" s="8"/>
      <c r="F8" s="8"/>
      <c r="G8" s="8"/>
      <c r="H8" s="8"/>
      <c r="I8" s="8"/>
      <c r="J8" s="8"/>
      <c r="K8" s="8"/>
    </row>
    <row r="9" spans="2:12" ht="21.75" customHeight="1" x14ac:dyDescent="0.4">
      <c r="B9" s="308"/>
      <c r="C9" s="309"/>
      <c r="D9" s="310"/>
      <c r="E9" s="309"/>
      <c r="F9" s="311"/>
      <c r="G9" s="500" t="s">
        <v>304</v>
      </c>
      <c r="H9" s="500" t="s">
        <v>299</v>
      </c>
      <c r="I9" s="500" t="s">
        <v>293</v>
      </c>
      <c r="J9" s="502" t="s">
        <v>301</v>
      </c>
      <c r="K9" s="502"/>
      <c r="L9" s="500" t="s">
        <v>296</v>
      </c>
    </row>
    <row r="10" spans="2:12" ht="30" customHeight="1" thickBot="1" x14ac:dyDescent="0.45">
      <c r="B10" s="312" t="s">
        <v>5</v>
      </c>
      <c r="C10" s="313"/>
      <c r="D10" s="314" t="s">
        <v>309</v>
      </c>
      <c r="E10" s="313"/>
      <c r="F10" s="315" t="s">
        <v>1</v>
      </c>
      <c r="G10" s="501"/>
      <c r="H10" s="501"/>
      <c r="I10" s="501"/>
      <c r="J10" s="316" t="s">
        <v>302</v>
      </c>
      <c r="K10" s="317" t="s">
        <v>303</v>
      </c>
      <c r="L10" s="501"/>
    </row>
    <row r="11" spans="2:12" ht="16.2" customHeight="1" x14ac:dyDescent="0.4">
      <c r="B11" s="137" t="s">
        <v>60</v>
      </c>
      <c r="C11" s="454"/>
      <c r="D11" s="155"/>
      <c r="E11" s="454"/>
      <c r="F11" s="170"/>
      <c r="G11" s="110"/>
      <c r="H11" s="110"/>
      <c r="I11" s="157"/>
      <c r="J11" s="178"/>
      <c r="K11" s="183"/>
      <c r="L11" s="186"/>
    </row>
    <row r="12" spans="2:12" ht="16.2" customHeight="1" x14ac:dyDescent="0.4">
      <c r="B12" s="138" t="s">
        <v>140</v>
      </c>
      <c r="C12" s="139" t="s">
        <v>245</v>
      </c>
      <c r="D12" s="140">
        <v>3037</v>
      </c>
      <c r="E12" s="141"/>
      <c r="F12" s="171" t="s">
        <v>839</v>
      </c>
      <c r="G12" s="158">
        <v>100</v>
      </c>
      <c r="H12" s="158"/>
      <c r="I12" s="140"/>
      <c r="J12" s="114"/>
      <c r="K12" s="184" t="s">
        <v>245</v>
      </c>
      <c r="L12" s="163"/>
    </row>
    <row r="13" spans="2:12" ht="16.2" customHeight="1" x14ac:dyDescent="0.4">
      <c r="B13" s="138" t="s">
        <v>140</v>
      </c>
      <c r="C13" s="139"/>
      <c r="D13" s="140">
        <f>1+D12</f>
        <v>3038</v>
      </c>
      <c r="E13" s="141"/>
      <c r="F13" s="171" t="s">
        <v>20</v>
      </c>
      <c r="G13" s="158">
        <v>100</v>
      </c>
      <c r="H13" s="158"/>
      <c r="I13" s="140"/>
      <c r="J13" s="114"/>
      <c r="K13" s="184"/>
      <c r="L13" s="163"/>
    </row>
    <row r="14" spans="2:12" ht="16.2" customHeight="1" x14ac:dyDescent="0.4">
      <c r="B14" s="138" t="s">
        <v>140</v>
      </c>
      <c r="C14" s="139"/>
      <c r="D14" s="140">
        <f t="shared" ref="D14:D19" si="0">1+D13</f>
        <v>3039</v>
      </c>
      <c r="E14" s="141"/>
      <c r="F14" s="171" t="s">
        <v>612</v>
      </c>
      <c r="G14" s="158">
        <v>100</v>
      </c>
      <c r="H14" s="158"/>
      <c r="I14" s="140"/>
      <c r="J14" s="114"/>
      <c r="K14" s="184"/>
      <c r="L14" s="163"/>
    </row>
    <row r="15" spans="2:12" ht="16.2" customHeight="1" x14ac:dyDescent="0.4">
      <c r="B15" s="138" t="s">
        <v>140</v>
      </c>
      <c r="C15" s="139"/>
      <c r="D15" s="140">
        <f t="shared" si="0"/>
        <v>3040</v>
      </c>
      <c r="E15" s="141"/>
      <c r="F15" s="171" t="s">
        <v>912</v>
      </c>
      <c r="G15" s="158">
        <v>100</v>
      </c>
      <c r="H15" s="158"/>
      <c r="I15" s="140"/>
      <c r="J15" s="114"/>
      <c r="K15" s="184"/>
      <c r="L15" s="163"/>
    </row>
    <row r="16" spans="2:12" ht="16.2" customHeight="1" x14ac:dyDescent="0.4">
      <c r="B16" s="138" t="s">
        <v>140</v>
      </c>
      <c r="C16" s="139"/>
      <c r="D16" s="140">
        <f t="shared" si="0"/>
        <v>3041</v>
      </c>
      <c r="E16" s="141"/>
      <c r="F16" s="171" t="s">
        <v>41</v>
      </c>
      <c r="G16" s="158">
        <v>100</v>
      </c>
      <c r="H16" s="158"/>
      <c r="I16" s="140"/>
      <c r="J16" s="114"/>
      <c r="K16" s="184"/>
      <c r="L16" s="163"/>
    </row>
    <row r="17" spans="2:13" ht="16.2" customHeight="1" x14ac:dyDescent="0.4">
      <c r="B17" s="138" t="s">
        <v>140</v>
      </c>
      <c r="C17" s="139"/>
      <c r="D17" s="140">
        <f t="shared" si="0"/>
        <v>3042</v>
      </c>
      <c r="E17" s="141"/>
      <c r="F17" s="171" t="s">
        <v>232</v>
      </c>
      <c r="G17" s="158">
        <v>100</v>
      </c>
      <c r="H17" s="158"/>
      <c r="I17" s="140"/>
      <c r="J17" s="114"/>
      <c r="K17" s="184"/>
      <c r="L17" s="163"/>
    </row>
    <row r="18" spans="2:13" ht="16.2" customHeight="1" x14ac:dyDescent="0.4">
      <c r="B18" s="138" t="s">
        <v>140</v>
      </c>
      <c r="C18" s="139"/>
      <c r="D18" s="140">
        <f t="shared" si="0"/>
        <v>3043</v>
      </c>
      <c r="E18" s="141"/>
      <c r="F18" s="171" t="s">
        <v>294</v>
      </c>
      <c r="G18" s="158">
        <v>100</v>
      </c>
      <c r="H18" s="158"/>
      <c r="I18" s="140"/>
      <c r="J18" s="114"/>
      <c r="K18" s="184"/>
      <c r="L18" s="163"/>
    </row>
    <row r="19" spans="2:13" ht="16.2" customHeight="1" x14ac:dyDescent="0.4">
      <c r="B19" s="138" t="s">
        <v>140</v>
      </c>
      <c r="C19" s="139"/>
      <c r="D19" s="140">
        <f t="shared" si="0"/>
        <v>3044</v>
      </c>
      <c r="E19" s="141"/>
      <c r="F19" s="171" t="s">
        <v>680</v>
      </c>
      <c r="G19" s="158">
        <v>100</v>
      </c>
      <c r="H19" s="158"/>
      <c r="I19" s="140"/>
      <c r="J19" s="114"/>
      <c r="K19" s="184"/>
      <c r="L19" s="163"/>
    </row>
    <row r="20" spans="2:13" ht="18" customHeight="1" x14ac:dyDescent="0.4">
      <c r="B20" s="154" t="s">
        <v>307</v>
      </c>
      <c r="D20" s="111"/>
      <c r="F20" s="109"/>
      <c r="G20" s="161">
        <f>SUM(G12:G19)</f>
        <v>800</v>
      </c>
      <c r="H20" s="161"/>
      <c r="I20" s="162">
        <f>G20-J20</f>
        <v>0</v>
      </c>
      <c r="J20" s="114">
        <v>800</v>
      </c>
      <c r="K20" s="185">
        <v>200</v>
      </c>
      <c r="L20" s="198">
        <f>J20+K20</f>
        <v>1000</v>
      </c>
      <c r="M20" t="s">
        <v>245</v>
      </c>
    </row>
    <row r="21" spans="2:13" ht="16.2" customHeight="1" x14ac:dyDescent="0.4">
      <c r="B21" s="138" t="s">
        <v>141</v>
      </c>
      <c r="C21" s="141"/>
      <c r="D21" s="140">
        <v>3051</v>
      </c>
      <c r="E21" s="141"/>
      <c r="F21" s="171" t="s">
        <v>612</v>
      </c>
      <c r="G21" s="158">
        <v>100</v>
      </c>
      <c r="H21" s="159"/>
      <c r="I21" s="140"/>
      <c r="J21" s="114"/>
      <c r="K21" s="185"/>
      <c r="L21" s="167" t="s">
        <v>245</v>
      </c>
    </row>
    <row r="22" spans="2:13" ht="16.2" customHeight="1" x14ac:dyDescent="0.4">
      <c r="B22" s="138" t="s">
        <v>141</v>
      </c>
      <c r="C22" s="141"/>
      <c r="D22" s="140">
        <f>1+D21</f>
        <v>3052</v>
      </c>
      <c r="E22" s="141"/>
      <c r="F22" s="171" t="s">
        <v>74</v>
      </c>
      <c r="G22" s="275">
        <v>100</v>
      </c>
      <c r="H22" s="159"/>
      <c r="I22" s="140"/>
      <c r="J22" s="114"/>
      <c r="K22" s="185"/>
      <c r="L22" s="167"/>
      <c r="M22" s="272"/>
    </row>
    <row r="23" spans="2:13" ht="16.2" customHeight="1" x14ac:dyDescent="0.4">
      <c r="B23" s="138" t="s">
        <v>141</v>
      </c>
      <c r="C23" s="141"/>
      <c r="D23" s="140">
        <f>1+D22</f>
        <v>3053</v>
      </c>
      <c r="E23" s="141"/>
      <c r="F23" s="171" t="s">
        <v>232</v>
      </c>
      <c r="G23" s="158">
        <v>100</v>
      </c>
      <c r="H23" s="159"/>
      <c r="I23" s="140"/>
      <c r="J23" s="114"/>
      <c r="K23" s="185"/>
      <c r="L23" s="167"/>
    </row>
    <row r="24" spans="2:13" ht="16.2" customHeight="1" x14ac:dyDescent="0.4">
      <c r="B24" s="138" t="s">
        <v>141</v>
      </c>
      <c r="C24" s="141"/>
      <c r="D24" s="140">
        <f t="shared" ref="D24:D26" si="1">1+D23</f>
        <v>3054</v>
      </c>
      <c r="E24" s="141"/>
      <c r="F24" s="171" t="s">
        <v>33</v>
      </c>
      <c r="G24" s="158">
        <v>100</v>
      </c>
      <c r="H24" s="159"/>
      <c r="I24" s="140"/>
      <c r="J24" s="114"/>
      <c r="K24" s="185"/>
      <c r="L24" s="167"/>
    </row>
    <row r="25" spans="2:13" ht="16.2" customHeight="1" x14ac:dyDescent="0.4">
      <c r="B25" s="138" t="s">
        <v>141</v>
      </c>
      <c r="C25" s="141"/>
      <c r="D25" s="140">
        <f t="shared" si="1"/>
        <v>3055</v>
      </c>
      <c r="E25" s="141"/>
      <c r="F25" s="172" t="s">
        <v>157</v>
      </c>
      <c r="G25" s="158">
        <v>100</v>
      </c>
      <c r="H25" s="159"/>
      <c r="I25" s="140"/>
      <c r="J25" s="114"/>
      <c r="K25" s="185"/>
      <c r="L25" s="167"/>
    </row>
    <row r="26" spans="2:13" ht="16.2" customHeight="1" x14ac:dyDescent="0.4">
      <c r="B26" s="138" t="s">
        <v>141</v>
      </c>
      <c r="C26" s="141"/>
      <c r="D26" s="140">
        <f t="shared" si="1"/>
        <v>3056</v>
      </c>
      <c r="E26" s="141"/>
      <c r="F26" s="172" t="s">
        <v>919</v>
      </c>
      <c r="G26" s="158">
        <v>100</v>
      </c>
      <c r="H26" s="159"/>
      <c r="I26" s="140"/>
      <c r="J26" s="114"/>
      <c r="K26" s="185"/>
      <c r="L26" s="167"/>
    </row>
    <row r="27" spans="2:13" ht="16.2" hidden="1" customHeight="1" x14ac:dyDescent="0.4">
      <c r="B27" s="138"/>
      <c r="C27" s="141"/>
      <c r="D27" s="140"/>
      <c r="E27" s="141"/>
      <c r="F27" s="172"/>
      <c r="G27" s="158">
        <v>0</v>
      </c>
      <c r="H27" s="159"/>
      <c r="I27" s="140"/>
      <c r="J27" s="114"/>
      <c r="K27" s="185"/>
      <c r="L27" s="167"/>
    </row>
    <row r="28" spans="2:13" ht="16.2" hidden="1" customHeight="1" x14ac:dyDescent="0.4">
      <c r="B28" s="138"/>
      <c r="C28" s="141"/>
      <c r="D28" s="140"/>
      <c r="E28" s="141"/>
      <c r="F28" s="172"/>
      <c r="G28" s="158">
        <v>0</v>
      </c>
      <c r="H28" s="159"/>
      <c r="I28" s="140"/>
      <c r="J28" s="114"/>
      <c r="K28" s="185"/>
      <c r="L28" s="167"/>
    </row>
    <row r="29" spans="2:13" ht="16.2" hidden="1" customHeight="1" x14ac:dyDescent="0.4">
      <c r="B29" s="138"/>
      <c r="C29" s="141"/>
      <c r="D29" s="140"/>
      <c r="E29" s="141"/>
      <c r="F29" s="172"/>
      <c r="G29" s="158">
        <v>0</v>
      </c>
      <c r="H29" s="159"/>
      <c r="I29" s="140"/>
      <c r="J29" s="114"/>
      <c r="K29" s="185"/>
      <c r="L29" s="167"/>
    </row>
    <row r="30" spans="2:13" ht="16.2" customHeight="1" x14ac:dyDescent="0.4">
      <c r="B30" s="154" t="s">
        <v>307</v>
      </c>
      <c r="C30" s="141"/>
      <c r="D30" s="140"/>
      <c r="E30" s="141"/>
      <c r="F30" s="172"/>
      <c r="G30" s="334">
        <f>SUM(G21:G29)</f>
        <v>600</v>
      </c>
      <c r="H30" s="417"/>
      <c r="I30" s="453">
        <f>G30-J30</f>
        <v>0</v>
      </c>
      <c r="J30" s="142">
        <v>600</v>
      </c>
      <c r="K30" s="185">
        <v>400</v>
      </c>
      <c r="L30" s="198">
        <f>J30+K30</f>
        <v>1000</v>
      </c>
    </row>
    <row r="31" spans="2:13" ht="16.2" customHeight="1" x14ac:dyDescent="0.4">
      <c r="B31" s="138">
        <v>20</v>
      </c>
      <c r="C31" s="141"/>
      <c r="D31" s="140">
        <v>3057</v>
      </c>
      <c r="E31" s="141"/>
      <c r="F31" s="172" t="s">
        <v>232</v>
      </c>
      <c r="G31" s="275">
        <v>100</v>
      </c>
      <c r="H31" s="159"/>
      <c r="I31" s="140"/>
      <c r="J31" s="114"/>
      <c r="K31" s="185"/>
      <c r="L31" s="198"/>
      <c r="M31" s="272"/>
    </row>
    <row r="32" spans="2:13" ht="16.2" customHeight="1" x14ac:dyDescent="0.4">
      <c r="B32" s="138">
        <v>20</v>
      </c>
      <c r="C32" s="141"/>
      <c r="D32" s="140">
        <f t="shared" ref="D32:D36" si="2">1+D31</f>
        <v>3058</v>
      </c>
      <c r="E32" s="141"/>
      <c r="F32" s="172" t="s">
        <v>85</v>
      </c>
      <c r="G32" s="275">
        <v>100</v>
      </c>
      <c r="H32" s="159"/>
      <c r="I32" s="140"/>
      <c r="J32" s="114"/>
      <c r="K32" s="185"/>
      <c r="L32" s="198"/>
      <c r="M32" s="272"/>
    </row>
    <row r="33" spans="2:13" ht="16.2" customHeight="1" x14ac:dyDescent="0.4">
      <c r="B33" s="138">
        <v>20</v>
      </c>
      <c r="C33" s="141"/>
      <c r="D33" s="140">
        <f t="shared" si="2"/>
        <v>3059</v>
      </c>
      <c r="E33" s="141"/>
      <c r="F33" s="172" t="s">
        <v>33</v>
      </c>
      <c r="G33" s="275">
        <v>100</v>
      </c>
      <c r="H33" s="159"/>
      <c r="I33" s="140"/>
      <c r="J33" s="114"/>
      <c r="K33" s="185"/>
      <c r="L33" s="198"/>
    </row>
    <row r="34" spans="2:13" ht="16.2" customHeight="1" x14ac:dyDescent="0.4">
      <c r="B34" s="138">
        <v>20</v>
      </c>
      <c r="C34" s="141"/>
      <c r="D34" s="140">
        <f t="shared" si="2"/>
        <v>3060</v>
      </c>
      <c r="E34" s="141"/>
      <c r="F34" s="172" t="s">
        <v>41</v>
      </c>
      <c r="G34" s="275">
        <v>100</v>
      </c>
      <c r="H34" s="159"/>
      <c r="I34" s="140"/>
      <c r="J34" s="114"/>
      <c r="K34" s="185"/>
      <c r="L34" s="198"/>
    </row>
    <row r="35" spans="2:13" ht="16.2" customHeight="1" x14ac:dyDescent="0.4">
      <c r="B35" s="138">
        <v>20</v>
      </c>
      <c r="C35" s="141"/>
      <c r="D35" s="140">
        <f t="shared" si="2"/>
        <v>3061</v>
      </c>
      <c r="E35" s="141"/>
      <c r="F35" s="172" t="s">
        <v>839</v>
      </c>
      <c r="G35" s="275">
        <v>100</v>
      </c>
      <c r="H35" s="159"/>
      <c r="I35" s="140"/>
      <c r="J35" s="114"/>
      <c r="K35" s="185"/>
      <c r="L35" s="198"/>
    </row>
    <row r="36" spans="2:13" ht="16.2" customHeight="1" x14ac:dyDescent="0.4">
      <c r="B36" s="138">
        <v>20</v>
      </c>
      <c r="C36" s="141"/>
      <c r="D36" s="140">
        <f t="shared" si="2"/>
        <v>3062</v>
      </c>
      <c r="E36" s="141"/>
      <c r="F36" s="172" t="s">
        <v>920</v>
      </c>
      <c r="G36" s="275">
        <v>100</v>
      </c>
      <c r="H36" s="159"/>
      <c r="I36" s="140"/>
      <c r="J36" s="114"/>
      <c r="K36" s="185"/>
      <c r="L36" s="198"/>
    </row>
    <row r="37" spans="2:13" ht="16.2" customHeight="1" x14ac:dyDescent="0.4">
      <c r="B37" s="345" t="s">
        <v>307</v>
      </c>
      <c r="C37" s="395"/>
      <c r="D37" s="177"/>
      <c r="E37" s="395"/>
      <c r="F37" s="396"/>
      <c r="G37" s="400">
        <f>SUM(G31:G36)</f>
        <v>600</v>
      </c>
      <c r="H37" s="399"/>
      <c r="I37" s="162">
        <f>G37-J37</f>
        <v>0</v>
      </c>
      <c r="J37" s="114">
        <v>600</v>
      </c>
      <c r="K37" s="185">
        <v>400</v>
      </c>
      <c r="L37" s="198">
        <f>J37+K37</f>
        <v>1000</v>
      </c>
      <c r="M37" s="272"/>
    </row>
    <row r="38" spans="2:13" ht="16.2" customHeight="1" x14ac:dyDescent="0.4">
      <c r="B38" s="175">
        <v>27</v>
      </c>
      <c r="C38" s="395"/>
      <c r="D38" s="177">
        <v>3045</v>
      </c>
      <c r="E38" s="395"/>
      <c r="F38" s="396" t="s">
        <v>921</v>
      </c>
      <c r="G38" s="397">
        <v>100</v>
      </c>
      <c r="H38" s="399"/>
      <c r="I38" s="177"/>
      <c r="J38" s="114"/>
      <c r="K38" s="185"/>
      <c r="L38" s="198"/>
    </row>
    <row r="39" spans="2:13" ht="16.2" customHeight="1" x14ac:dyDescent="0.4">
      <c r="B39" s="175">
        <v>27</v>
      </c>
      <c r="C39" s="395"/>
      <c r="D39" s="177">
        <f>1+D38</f>
        <v>3046</v>
      </c>
      <c r="E39" s="395"/>
      <c r="F39" s="396" t="s">
        <v>922</v>
      </c>
      <c r="G39" s="397">
        <v>100</v>
      </c>
      <c r="H39" s="399"/>
      <c r="I39" s="177"/>
      <c r="J39" s="114"/>
      <c r="K39" s="185"/>
      <c r="L39" s="198"/>
    </row>
    <row r="40" spans="2:13" ht="16.2" customHeight="1" x14ac:dyDescent="0.4">
      <c r="B40" s="175">
        <v>27</v>
      </c>
      <c r="C40" s="395"/>
      <c r="D40" s="177">
        <f t="shared" ref="D40:D41" si="3">1+D39</f>
        <v>3047</v>
      </c>
      <c r="E40" s="395"/>
      <c r="F40" s="396" t="s">
        <v>157</v>
      </c>
      <c r="G40" s="397">
        <v>100</v>
      </c>
      <c r="H40" s="399"/>
      <c r="I40" s="177"/>
      <c r="J40" s="114"/>
      <c r="K40" s="185"/>
      <c r="L40" s="198"/>
    </row>
    <row r="41" spans="2:13" ht="16.2" customHeight="1" x14ac:dyDescent="0.4">
      <c r="B41" s="175">
        <v>27</v>
      </c>
      <c r="C41" s="395"/>
      <c r="D41" s="177">
        <f t="shared" si="3"/>
        <v>3048</v>
      </c>
      <c r="E41" s="395"/>
      <c r="F41" s="396" t="s">
        <v>612</v>
      </c>
      <c r="G41" s="397">
        <v>100</v>
      </c>
      <c r="H41" s="399"/>
      <c r="I41" s="177"/>
      <c r="J41" s="114"/>
      <c r="K41" s="185"/>
      <c r="L41" s="198"/>
    </row>
    <row r="42" spans="2:13" ht="16.2" customHeight="1" x14ac:dyDescent="0.4">
      <c r="B42" s="175">
        <v>27</v>
      </c>
      <c r="C42" s="395"/>
      <c r="D42" s="177">
        <f>1+D40</f>
        <v>3048</v>
      </c>
      <c r="E42" s="395"/>
      <c r="F42" s="396" t="s">
        <v>74</v>
      </c>
      <c r="G42" s="397">
        <v>100</v>
      </c>
      <c r="H42" s="399"/>
      <c r="I42" s="177"/>
      <c r="J42" s="114"/>
      <c r="K42" s="185"/>
      <c r="L42" s="198"/>
    </row>
    <row r="43" spans="2:13" ht="16.2" customHeight="1" x14ac:dyDescent="0.4">
      <c r="B43" s="175">
        <v>27</v>
      </c>
      <c r="C43" s="395"/>
      <c r="D43" s="177" t="s">
        <v>399</v>
      </c>
      <c r="E43" s="395"/>
      <c r="F43" s="439" t="s">
        <v>386</v>
      </c>
      <c r="G43" s="397">
        <v>100</v>
      </c>
      <c r="H43" s="399"/>
      <c r="I43" s="177"/>
      <c r="J43" s="114"/>
      <c r="K43" s="185"/>
      <c r="L43" s="198"/>
    </row>
    <row r="44" spans="2:13" ht="16.2" customHeight="1" thickBot="1" x14ac:dyDescent="0.45">
      <c r="B44" s="345" t="s">
        <v>307</v>
      </c>
      <c r="C44" s="395"/>
      <c r="D44" s="177"/>
      <c r="E44" s="395"/>
      <c r="F44" s="396"/>
      <c r="G44" s="400">
        <f>SUM(G38:G43)</f>
        <v>600</v>
      </c>
      <c r="H44" s="399"/>
      <c r="I44" s="162">
        <f>G44-J44</f>
        <v>0</v>
      </c>
      <c r="J44" s="114">
        <v>600</v>
      </c>
      <c r="K44" s="185">
        <v>400</v>
      </c>
      <c r="L44" s="198">
        <f t="shared" ref="L44:L53" si="4">J44+K44</f>
        <v>1000</v>
      </c>
    </row>
    <row r="45" spans="2:13" ht="16.2" hidden="1" customHeight="1" x14ac:dyDescent="0.4">
      <c r="B45" s="175"/>
      <c r="C45" s="395"/>
      <c r="D45" s="177"/>
      <c r="E45" s="395"/>
      <c r="F45" s="396"/>
      <c r="G45" s="397"/>
      <c r="H45" s="399"/>
      <c r="I45" s="177"/>
      <c r="J45" s="114"/>
      <c r="K45" s="185"/>
      <c r="L45" s="198">
        <f t="shared" si="4"/>
        <v>0</v>
      </c>
    </row>
    <row r="46" spans="2:13" ht="16.2" hidden="1" customHeight="1" x14ac:dyDescent="0.4">
      <c r="B46" s="175"/>
      <c r="C46" s="395"/>
      <c r="D46" s="177"/>
      <c r="E46" s="395"/>
      <c r="F46" s="396"/>
      <c r="G46" s="397"/>
      <c r="H46" s="399"/>
      <c r="I46" s="177"/>
      <c r="J46" s="114"/>
      <c r="K46" s="185"/>
      <c r="L46" s="198">
        <f t="shared" si="4"/>
        <v>0</v>
      </c>
    </row>
    <row r="47" spans="2:13" ht="16.2" hidden="1" customHeight="1" x14ac:dyDescent="0.4">
      <c r="B47" s="175"/>
      <c r="C47" s="395"/>
      <c r="D47" s="177"/>
      <c r="E47" s="395"/>
      <c r="F47" s="396"/>
      <c r="G47" s="397"/>
      <c r="H47" s="399"/>
      <c r="I47" s="177"/>
      <c r="J47" s="114"/>
      <c r="K47" s="185"/>
      <c r="L47" s="198"/>
    </row>
    <row r="48" spans="2:13" ht="16.2" hidden="1" customHeight="1" x14ac:dyDescent="0.4">
      <c r="B48" s="175"/>
      <c r="C48" s="395"/>
      <c r="D48" s="177"/>
      <c r="E48" s="395"/>
      <c r="F48" s="396"/>
      <c r="G48" s="397"/>
      <c r="H48" s="399"/>
      <c r="I48" s="177"/>
      <c r="J48" s="114"/>
      <c r="K48" s="185"/>
      <c r="L48" s="198"/>
    </row>
    <row r="49" spans="2:16" ht="16.2" hidden="1" customHeight="1" x14ac:dyDescent="0.4">
      <c r="B49" s="175"/>
      <c r="C49" s="395"/>
      <c r="D49" s="177"/>
      <c r="E49" s="395"/>
      <c r="F49" s="396"/>
      <c r="G49" s="397"/>
      <c r="H49" s="399"/>
      <c r="I49" s="177"/>
      <c r="J49" s="114"/>
      <c r="K49" s="185"/>
      <c r="L49" s="198"/>
    </row>
    <row r="50" spans="2:16" ht="16.2" hidden="1" customHeight="1" x14ac:dyDescent="0.4">
      <c r="B50" s="175"/>
      <c r="C50" s="395"/>
      <c r="D50" s="177"/>
      <c r="E50" s="395"/>
      <c r="F50" s="396"/>
      <c r="G50" s="397"/>
      <c r="H50" s="399"/>
      <c r="I50" s="177"/>
      <c r="J50" s="114"/>
      <c r="K50" s="185"/>
      <c r="L50" s="198"/>
    </row>
    <row r="51" spans="2:16" ht="16.2" hidden="1" customHeight="1" x14ac:dyDescent="0.4">
      <c r="B51" s="175"/>
      <c r="C51" s="395"/>
      <c r="D51" s="177"/>
      <c r="E51" s="395"/>
      <c r="F51" s="396"/>
      <c r="G51" s="397"/>
      <c r="H51" s="399"/>
      <c r="I51" s="177"/>
      <c r="J51" s="114"/>
      <c r="K51" s="185"/>
      <c r="L51" s="198"/>
    </row>
    <row r="52" spans="2:16" ht="16.2" hidden="1" customHeight="1" x14ac:dyDescent="0.4">
      <c r="B52" s="175"/>
      <c r="C52" s="395"/>
      <c r="D52" s="452"/>
      <c r="E52" s="395"/>
      <c r="F52" s="396"/>
      <c r="G52" s="397"/>
      <c r="H52" s="399"/>
      <c r="I52" s="177"/>
      <c r="J52" s="114"/>
      <c r="K52" s="185"/>
      <c r="L52" s="198"/>
    </row>
    <row r="53" spans="2:16" ht="16.2" hidden="1" customHeight="1" thickBot="1" x14ac:dyDescent="0.45">
      <c r="B53" s="345" t="s">
        <v>307</v>
      </c>
      <c r="C53" s="395"/>
      <c r="D53" s="177"/>
      <c r="E53" s="395"/>
      <c r="F53" s="396"/>
      <c r="G53" s="419">
        <f>SUM(G45:G52)</f>
        <v>0</v>
      </c>
      <c r="H53" s="399"/>
      <c r="I53" s="397">
        <f>G53-J53</f>
        <v>0</v>
      </c>
      <c r="J53" s="114">
        <v>0</v>
      </c>
      <c r="K53" s="185">
        <v>0</v>
      </c>
      <c r="L53" s="198">
        <f t="shared" si="4"/>
        <v>0</v>
      </c>
    </row>
    <row r="54" spans="2:16" ht="22.2" customHeight="1" thickBot="1" x14ac:dyDescent="0.45">
      <c r="B54" s="318" t="s">
        <v>297</v>
      </c>
      <c r="C54" s="319"/>
      <c r="D54" s="320"/>
      <c r="E54" s="321"/>
      <c r="F54" s="319"/>
      <c r="G54" s="322">
        <f>G53+G44+G37+G30+G20</f>
        <v>2600</v>
      </c>
      <c r="H54" s="322"/>
      <c r="I54" s="322">
        <f>I53+I44+I37+I30+I20</f>
        <v>0</v>
      </c>
      <c r="J54" s="322">
        <f>J53+J44+J37+J30+J20</f>
        <v>2600</v>
      </c>
      <c r="K54" s="322">
        <f>K53+K44+K37+K30+K20</f>
        <v>1400</v>
      </c>
      <c r="L54" s="322">
        <f>L53+L44+L37+L30+L20</f>
        <v>4000</v>
      </c>
      <c r="P54" s="408"/>
    </row>
    <row r="55" spans="2:16" ht="16.2" customHeight="1" x14ac:dyDescent="0.4">
      <c r="B55" s="9"/>
      <c r="C55" s="8"/>
      <c r="D55" s="454"/>
      <c r="E55" s="454"/>
      <c r="F55" s="8"/>
      <c r="G55" s="10" t="s">
        <v>245</v>
      </c>
      <c r="H55" s="10"/>
      <c r="I55" s="14" t="s">
        <v>245</v>
      </c>
      <c r="J55" s="14" t="s">
        <v>245</v>
      </c>
      <c r="K55" s="12"/>
      <c r="L55" s="15" t="s">
        <v>245</v>
      </c>
      <c r="P55" s="409"/>
    </row>
    <row r="56" spans="2:16" ht="14.15" customHeight="1" x14ac:dyDescent="0.4">
      <c r="B56" s="8"/>
      <c r="C56" s="8"/>
      <c r="D56" s="8"/>
      <c r="E56" s="8"/>
      <c r="F56" s="454"/>
      <c r="G56" s="8"/>
      <c r="H56" s="8"/>
      <c r="I56" s="8"/>
      <c r="J56" s="8"/>
      <c r="K56" s="8"/>
    </row>
    <row r="57" spans="2:16" ht="14.15" customHeight="1" x14ac:dyDescent="0.4">
      <c r="B57" s="8"/>
      <c r="C57" s="8"/>
      <c r="D57" s="8"/>
      <c r="E57" s="8"/>
      <c r="F57" s="454"/>
      <c r="G57" s="8"/>
      <c r="H57" s="8"/>
      <c r="I57" s="8"/>
      <c r="J57" s="8"/>
      <c r="K57" s="8"/>
    </row>
    <row r="58" spans="2:16" ht="14.15" customHeight="1" x14ac:dyDescent="0.4">
      <c r="B58" s="267" t="s">
        <v>934</v>
      </c>
      <c r="C58" s="267"/>
      <c r="D58" s="267"/>
      <c r="E58" s="267"/>
      <c r="F58" s="454"/>
      <c r="G58" s="8"/>
      <c r="H58" s="8"/>
      <c r="I58" s="8"/>
      <c r="J58" s="8"/>
      <c r="K58" s="8"/>
    </row>
    <row r="59" spans="2:16" ht="14.15" customHeight="1" thickBot="1" x14ac:dyDescent="0.45">
      <c r="B59" s="454" t="s">
        <v>245</v>
      </c>
      <c r="C59" s="8"/>
      <c r="D59" s="8"/>
      <c r="E59" s="8"/>
      <c r="F59" s="454"/>
      <c r="G59" s="454"/>
      <c r="H59" s="454"/>
      <c r="I59" s="454"/>
      <c r="J59" s="454"/>
      <c r="K59" s="454"/>
    </row>
    <row r="60" spans="2:16" ht="18" customHeight="1" thickBot="1" x14ac:dyDescent="0.45">
      <c r="B60" s="469" t="s">
        <v>311</v>
      </c>
      <c r="C60" s="470"/>
      <c r="D60" s="470"/>
      <c r="E60" s="471"/>
      <c r="F60" s="209" t="s">
        <v>123</v>
      </c>
      <c r="G60" s="454"/>
      <c r="H60" s="454"/>
      <c r="I60" s="454"/>
      <c r="J60" s="454"/>
      <c r="K60" s="454"/>
    </row>
    <row r="61" spans="2:16" ht="15" customHeight="1" thickBot="1" x14ac:dyDescent="0.45">
      <c r="B61" s="329" t="s">
        <v>60</v>
      </c>
      <c r="C61" s="330" t="s">
        <v>140</v>
      </c>
      <c r="D61" s="325" t="s">
        <v>245</v>
      </c>
      <c r="E61" s="325"/>
      <c r="F61" s="401">
        <v>1000</v>
      </c>
      <c r="G61" s="41"/>
      <c r="H61" s="41"/>
      <c r="I61" s="8"/>
      <c r="J61" s="201"/>
      <c r="K61" s="8"/>
    </row>
    <row r="62" spans="2:16" ht="15" customHeight="1" thickBot="1" x14ac:dyDescent="0.45">
      <c r="B62" s="329" t="s">
        <v>60</v>
      </c>
      <c r="C62" s="330" t="s">
        <v>141</v>
      </c>
      <c r="D62" s="325"/>
      <c r="E62" s="325"/>
      <c r="F62" s="401">
        <v>1000</v>
      </c>
      <c r="G62" s="41"/>
      <c r="H62" s="41"/>
      <c r="I62" s="8"/>
      <c r="J62" s="201"/>
      <c r="K62" s="8"/>
    </row>
    <row r="63" spans="2:16" ht="15" customHeight="1" thickBot="1" x14ac:dyDescent="0.45">
      <c r="B63" s="329" t="s">
        <v>60</v>
      </c>
      <c r="C63" s="330">
        <v>20</v>
      </c>
      <c r="D63" s="325"/>
      <c r="E63" s="325"/>
      <c r="F63" s="401">
        <v>1000</v>
      </c>
      <c r="G63" s="41"/>
      <c r="H63" s="41"/>
      <c r="I63" s="8"/>
      <c r="J63" s="201"/>
      <c r="K63" s="8"/>
    </row>
    <row r="64" spans="2:16" ht="15" customHeight="1" thickBot="1" x14ac:dyDescent="0.45">
      <c r="B64" s="388" t="s">
        <v>60</v>
      </c>
      <c r="C64" s="331">
        <v>27</v>
      </c>
      <c r="D64" s="326"/>
      <c r="E64" s="326"/>
      <c r="F64" s="402">
        <v>1000</v>
      </c>
      <c r="G64" s="41"/>
      <c r="H64" s="41"/>
      <c r="I64" s="8"/>
      <c r="J64" s="201"/>
      <c r="K64" s="8"/>
    </row>
    <row r="65" spans="2:11" ht="15" hidden="1" customHeight="1" x14ac:dyDescent="0.4">
      <c r="B65" s="440" t="s">
        <v>60</v>
      </c>
      <c r="C65" s="507">
        <v>29</v>
      </c>
      <c r="D65" s="508"/>
      <c r="E65" s="508"/>
      <c r="F65" s="509">
        <v>0</v>
      </c>
      <c r="G65" s="41"/>
      <c r="H65" s="41"/>
      <c r="I65" s="8"/>
      <c r="J65" s="201"/>
      <c r="K65" s="8"/>
    </row>
    <row r="66" spans="2:11" ht="15" hidden="1" customHeight="1" x14ac:dyDescent="0.4">
      <c r="B66" s="440"/>
      <c r="C66" s="441"/>
      <c r="D66" s="442"/>
      <c r="E66" s="442"/>
      <c r="F66" s="443"/>
      <c r="G66" s="41"/>
      <c r="H66" s="41"/>
      <c r="I66" s="8"/>
      <c r="J66" s="201"/>
      <c r="K66" s="8"/>
    </row>
    <row r="67" spans="2:11" ht="15" hidden="1" customHeight="1" x14ac:dyDescent="0.4">
      <c r="B67" s="331"/>
      <c r="C67" s="331"/>
      <c r="D67" s="326"/>
      <c r="E67" s="326"/>
      <c r="F67" s="402"/>
      <c r="G67" s="41"/>
      <c r="H67" s="41"/>
      <c r="I67" s="8"/>
      <c r="J67" s="201"/>
      <c r="K67" s="8"/>
    </row>
    <row r="68" spans="2:11" ht="8.15" customHeight="1" x14ac:dyDescent="0.4">
      <c r="B68" s="210"/>
      <c r="C68" s="211"/>
      <c r="D68" s="212" t="s">
        <v>245</v>
      </c>
      <c r="E68" s="212"/>
      <c r="F68" s="213"/>
      <c r="G68" s="10"/>
      <c r="H68" s="10"/>
      <c r="I68" s="21"/>
      <c r="J68" s="201"/>
      <c r="K68" s="10"/>
    </row>
    <row r="69" spans="2:11" ht="14.15" customHeight="1" thickBot="1" x14ac:dyDescent="0.45">
      <c r="B69" s="466" t="s">
        <v>296</v>
      </c>
      <c r="C69" s="467"/>
      <c r="D69" s="467"/>
      <c r="E69" s="214"/>
      <c r="F69" s="215">
        <f>SUM(F61:F67)</f>
        <v>4000</v>
      </c>
      <c r="G69" s="10"/>
      <c r="H69" s="10"/>
      <c r="I69" s="21"/>
      <c r="J69" s="203"/>
      <c r="K69" s="10"/>
    </row>
    <row r="70" spans="2:11" ht="15.45" x14ac:dyDescent="0.4">
      <c r="B70" s="26"/>
      <c r="C70" s="8"/>
      <c r="D70" s="8"/>
      <c r="E70" s="8"/>
      <c r="F70" s="8"/>
      <c r="G70" s="10"/>
      <c r="H70" s="10"/>
      <c r="I70" s="27"/>
      <c r="J70" s="27"/>
      <c r="K70" s="10"/>
    </row>
    <row r="71" spans="2:11" ht="15.45" x14ac:dyDescent="0.4">
      <c r="B71" s="25"/>
      <c r="C71" s="8"/>
      <c r="D71" s="8"/>
      <c r="E71" s="8"/>
      <c r="F71" s="8"/>
      <c r="G71" s="41"/>
      <c r="H71" s="41"/>
      <c r="I71" s="21"/>
      <c r="J71" s="27"/>
      <c r="K71" s="10"/>
    </row>
    <row r="72" spans="2:11" ht="15.45" x14ac:dyDescent="0.4">
      <c r="B72" s="26"/>
      <c r="C72" s="8"/>
      <c r="D72" s="6"/>
      <c r="E72" s="6"/>
      <c r="F72" s="8"/>
      <c r="G72" s="10"/>
      <c r="H72" s="10"/>
      <c r="I72" s="10"/>
      <c r="J72" s="8"/>
      <c r="K72" s="10"/>
    </row>
    <row r="73" spans="2:11" ht="15.45" x14ac:dyDescent="0.4">
      <c r="F73" s="8"/>
      <c r="I73" s="27"/>
    </row>
  </sheetData>
  <mergeCells count="9">
    <mergeCell ref="B60:E60"/>
    <mergeCell ref="B69:D69"/>
    <mergeCell ref="B5:L5"/>
    <mergeCell ref="F7:J7"/>
    <mergeCell ref="G9:G10"/>
    <mergeCell ref="H9:H10"/>
    <mergeCell ref="I9:I10"/>
    <mergeCell ref="J9:K9"/>
    <mergeCell ref="L9:L10"/>
  </mergeCells>
  <pageMargins left="0.11811023622047245" right="0.11811023622047245" top="0.15748031496062992" bottom="0" header="0.31496062992125984" footer="0.31496062992125984"/>
  <pageSetup paperSize="9" scale="80"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30"/>
  <sheetViews>
    <sheetView workbookViewId="0">
      <selection activeCell="H8" sqref="H8"/>
    </sheetView>
  </sheetViews>
  <sheetFormatPr defaultRowHeight="14.6" x14ac:dyDescent="0.4"/>
  <cols>
    <col min="1" max="1" width="8.3046875" customWidth="1"/>
    <col min="2" max="2" width="0.84375" customWidth="1"/>
    <col min="4" max="4" width="0.84375" customWidth="1"/>
    <col min="5" max="5" width="17.53515625" customWidth="1"/>
    <col min="6" max="6" width="11.07421875" customWidth="1"/>
    <col min="7" max="7" width="0.84375" customWidth="1"/>
    <col min="9" max="9" width="10.3046875" bestFit="1" customWidth="1"/>
    <col min="10" max="10" width="0.69140625" customWidth="1"/>
  </cols>
  <sheetData>
    <row r="1" spans="1:12" ht="15.45" x14ac:dyDescent="0.4">
      <c r="A1" s="8"/>
      <c r="B1" s="8"/>
      <c r="C1" s="8"/>
      <c r="D1" s="8" t="s">
        <v>0</v>
      </c>
      <c r="E1" s="8"/>
      <c r="F1" s="8"/>
      <c r="G1" s="8"/>
      <c r="H1" s="8"/>
      <c r="I1" s="8"/>
      <c r="J1" s="8"/>
      <c r="K1" s="8"/>
    </row>
    <row r="2" spans="1:12" ht="15.45" x14ac:dyDescent="0.4">
      <c r="A2" s="8"/>
      <c r="B2" s="8"/>
      <c r="C2" s="8"/>
      <c r="D2" s="8" t="s">
        <v>18</v>
      </c>
      <c r="E2" s="8" t="s">
        <v>40</v>
      </c>
      <c r="F2" s="8"/>
      <c r="G2" s="8"/>
      <c r="H2" s="8"/>
      <c r="I2" s="8"/>
      <c r="J2" s="8"/>
      <c r="K2" s="8"/>
    </row>
    <row r="3" spans="1:12" ht="15.45" x14ac:dyDescent="0.4">
      <c r="A3" s="8"/>
      <c r="B3" s="8"/>
      <c r="C3" s="8"/>
      <c r="D3" s="18"/>
      <c r="E3" s="13" t="s">
        <v>47</v>
      </c>
      <c r="F3" s="8"/>
      <c r="G3" s="8"/>
      <c r="H3" s="8"/>
      <c r="I3" s="8"/>
      <c r="J3" s="8"/>
      <c r="K3" s="8"/>
    </row>
    <row r="4" spans="1:12" ht="15.45" x14ac:dyDescent="0.4">
      <c r="A4" s="8"/>
      <c r="B4" s="8"/>
      <c r="C4" s="8"/>
      <c r="D4" s="8"/>
      <c r="E4" s="8"/>
      <c r="F4" s="8"/>
      <c r="G4" s="8"/>
      <c r="H4" s="8"/>
      <c r="I4" s="8"/>
      <c r="J4" s="8"/>
      <c r="K4" s="8"/>
    </row>
    <row r="5" spans="1:12" ht="15.45" x14ac:dyDescent="0.4">
      <c r="A5" s="8"/>
      <c r="B5" s="8"/>
      <c r="C5" s="8"/>
      <c r="D5" s="8"/>
      <c r="E5" s="8"/>
      <c r="F5" s="19" t="s">
        <v>12</v>
      </c>
      <c r="G5" s="8"/>
      <c r="H5" s="8"/>
      <c r="I5" s="8"/>
      <c r="J5" s="8"/>
      <c r="K5" s="8"/>
    </row>
    <row r="6" spans="1:12" ht="15.45" x14ac:dyDescent="0.4">
      <c r="A6" s="20" t="s">
        <v>5</v>
      </c>
      <c r="B6" s="19"/>
      <c r="C6" s="20" t="s">
        <v>6</v>
      </c>
      <c r="D6" s="8"/>
      <c r="E6" s="20" t="s">
        <v>1</v>
      </c>
      <c r="F6" s="20" t="s">
        <v>3</v>
      </c>
      <c r="G6" s="8"/>
      <c r="H6" s="20" t="s">
        <v>4</v>
      </c>
      <c r="I6" s="20" t="s">
        <v>2</v>
      </c>
      <c r="J6" s="8"/>
      <c r="K6" s="20" t="s">
        <v>24</v>
      </c>
    </row>
    <row r="7" spans="1:12" ht="15.45" x14ac:dyDescent="0.4">
      <c r="A7" s="9"/>
      <c r="B7" s="19"/>
      <c r="C7" s="19"/>
      <c r="D7" s="8"/>
      <c r="E7" s="17"/>
      <c r="F7" s="21"/>
      <c r="G7" s="8"/>
      <c r="H7" s="19"/>
      <c r="I7" s="21"/>
      <c r="J7" s="8"/>
      <c r="K7" s="19"/>
    </row>
    <row r="8" spans="1:12" ht="15.45" x14ac:dyDescent="0.4">
      <c r="A8" s="9" t="s">
        <v>28</v>
      </c>
      <c r="B8" s="11"/>
      <c r="C8" s="19">
        <v>1863</v>
      </c>
      <c r="D8" s="11"/>
      <c r="E8" s="12" t="s">
        <v>22</v>
      </c>
      <c r="F8" s="21"/>
      <c r="G8" s="8"/>
      <c r="H8" s="19"/>
      <c r="I8" s="21">
        <v>200</v>
      </c>
      <c r="J8" s="8"/>
      <c r="K8" s="19"/>
      <c r="L8" s="8"/>
    </row>
    <row r="9" spans="1:12" ht="15.45" x14ac:dyDescent="0.4">
      <c r="A9" s="9" t="s">
        <v>28</v>
      </c>
      <c r="B9" s="11"/>
      <c r="C9" s="19">
        <v>1864</v>
      </c>
      <c r="D9" s="11"/>
      <c r="E9" s="12" t="s">
        <v>17</v>
      </c>
      <c r="F9" s="21"/>
      <c r="G9" s="8"/>
      <c r="H9" s="19"/>
      <c r="I9" s="21">
        <v>200</v>
      </c>
      <c r="J9" s="8"/>
      <c r="K9" s="21"/>
    </row>
    <row r="10" spans="1:12" ht="15.45" x14ac:dyDescent="0.4">
      <c r="A10" s="9">
        <v>11</v>
      </c>
      <c r="B10" s="13"/>
      <c r="C10" s="19">
        <v>1865</v>
      </c>
      <c r="D10" s="13"/>
      <c r="E10" s="17" t="s">
        <v>23</v>
      </c>
      <c r="F10" s="21"/>
      <c r="G10" s="8"/>
      <c r="H10" s="19"/>
      <c r="I10" s="21">
        <v>500</v>
      </c>
      <c r="J10" s="8"/>
      <c r="K10" s="21"/>
    </row>
    <row r="11" spans="1:12" ht="15.45" x14ac:dyDescent="0.4">
      <c r="A11" s="9">
        <v>11</v>
      </c>
      <c r="B11" s="19"/>
      <c r="C11" s="19">
        <v>1866</v>
      </c>
      <c r="D11" s="8"/>
      <c r="E11" s="17" t="s">
        <v>48</v>
      </c>
      <c r="F11" s="21"/>
      <c r="G11" s="8"/>
      <c r="H11" s="21">
        <v>200</v>
      </c>
      <c r="I11" s="21">
        <v>200</v>
      </c>
      <c r="J11" s="8"/>
      <c r="K11" s="19"/>
    </row>
    <row r="12" spans="1:12" ht="15.45" x14ac:dyDescent="0.4">
      <c r="A12" s="9">
        <v>11</v>
      </c>
      <c r="B12" s="19"/>
      <c r="C12" s="19">
        <v>1867</v>
      </c>
      <c r="D12" s="8"/>
      <c r="E12" s="17" t="s">
        <v>44</v>
      </c>
      <c r="F12" s="21"/>
      <c r="G12" s="8"/>
      <c r="H12" s="21">
        <v>50</v>
      </c>
      <c r="I12" s="21">
        <v>100</v>
      </c>
      <c r="J12" s="8"/>
      <c r="K12" s="19"/>
    </row>
    <row r="13" spans="1:12" ht="15.45" x14ac:dyDescent="0.4">
      <c r="A13" s="9">
        <v>18</v>
      </c>
      <c r="B13" s="19"/>
      <c r="C13" s="19">
        <v>1868</v>
      </c>
      <c r="D13" s="8"/>
      <c r="E13" s="17" t="s">
        <v>49</v>
      </c>
      <c r="F13" s="21"/>
      <c r="G13" s="8"/>
      <c r="H13" s="21"/>
      <c r="I13" s="21">
        <v>1000</v>
      </c>
      <c r="J13" s="8"/>
      <c r="K13" s="19"/>
    </row>
    <row r="14" spans="1:12" ht="15.45" x14ac:dyDescent="0.4">
      <c r="A14" s="9">
        <v>25</v>
      </c>
      <c r="B14" s="19"/>
      <c r="C14" s="19">
        <v>1869</v>
      </c>
      <c r="D14" s="8"/>
      <c r="E14" s="17" t="s">
        <v>50</v>
      </c>
      <c r="F14" s="21"/>
      <c r="G14" s="8"/>
      <c r="H14" s="27"/>
      <c r="I14" s="21">
        <v>100</v>
      </c>
      <c r="J14" s="8"/>
      <c r="K14" s="19"/>
    </row>
    <row r="15" spans="1:12" ht="15.45" x14ac:dyDescent="0.4">
      <c r="A15" s="9">
        <v>25</v>
      </c>
      <c r="B15" s="19"/>
      <c r="C15" s="19">
        <v>1870</v>
      </c>
      <c r="D15" s="8"/>
      <c r="E15" s="17" t="s">
        <v>44</v>
      </c>
      <c r="F15" s="21"/>
      <c r="G15" s="8"/>
      <c r="H15" s="21">
        <v>60</v>
      </c>
      <c r="I15" s="21">
        <v>100</v>
      </c>
      <c r="J15" s="8"/>
      <c r="K15" s="19"/>
      <c r="L15" s="3"/>
    </row>
    <row r="16" spans="1:12" ht="15.45" x14ac:dyDescent="0.4">
      <c r="A16" s="9">
        <v>25</v>
      </c>
      <c r="B16" s="19"/>
      <c r="C16" s="19">
        <v>1871</v>
      </c>
      <c r="D16" s="8"/>
      <c r="E16" s="17" t="s">
        <v>48</v>
      </c>
      <c r="F16" s="21"/>
      <c r="G16" s="8"/>
      <c r="H16" s="19"/>
      <c r="I16" s="21">
        <v>100</v>
      </c>
      <c r="J16" s="8"/>
      <c r="K16" s="19"/>
      <c r="L16" s="3"/>
    </row>
    <row r="17" spans="1:12" ht="15.45" x14ac:dyDescent="0.4">
      <c r="A17" s="9">
        <v>25</v>
      </c>
      <c r="B17" s="19"/>
      <c r="C17" s="19">
        <v>1872</v>
      </c>
      <c r="D17" s="8"/>
      <c r="E17" s="17" t="s">
        <v>20</v>
      </c>
      <c r="F17" s="21"/>
      <c r="G17" s="8"/>
      <c r="H17" s="19"/>
      <c r="I17" s="21">
        <v>500</v>
      </c>
      <c r="J17" s="8"/>
      <c r="K17" s="19"/>
      <c r="L17" s="3"/>
    </row>
    <row r="18" spans="1:12" ht="15.45" x14ac:dyDescent="0.4">
      <c r="A18" s="9"/>
      <c r="B18" s="19"/>
      <c r="C18" s="19"/>
      <c r="D18" s="8"/>
      <c r="E18" s="17"/>
      <c r="F18" s="21"/>
      <c r="G18" s="8"/>
      <c r="H18" s="19"/>
      <c r="I18" s="42"/>
      <c r="J18" s="8"/>
      <c r="K18" s="19"/>
      <c r="L18" s="3"/>
    </row>
    <row r="19" spans="1:12" ht="15.9" thickBot="1" x14ac:dyDescent="0.45">
      <c r="A19" s="9"/>
      <c r="B19" s="8"/>
      <c r="C19" s="19"/>
      <c r="D19" s="8"/>
      <c r="E19" s="8"/>
      <c r="F19" s="10"/>
      <c r="G19" s="10"/>
      <c r="H19" s="14"/>
      <c r="I19" s="45">
        <f>SUM(I8:I17)</f>
        <v>3000</v>
      </c>
      <c r="J19" s="11"/>
      <c r="K19" s="12"/>
    </row>
    <row r="20" spans="1:12" ht="15.9" thickTop="1" x14ac:dyDescent="0.4">
      <c r="A20" s="8"/>
      <c r="B20" s="8"/>
      <c r="C20" s="8" t="s">
        <v>13</v>
      </c>
      <c r="D20" s="8"/>
      <c r="E20" s="8"/>
      <c r="F20" s="8"/>
      <c r="G20" s="8"/>
      <c r="H20" s="8"/>
      <c r="I20" s="8"/>
      <c r="J20" s="8"/>
      <c r="K20" s="8"/>
    </row>
    <row r="21" spans="1:12" ht="15.45" x14ac:dyDescent="0.4">
      <c r="A21" s="8"/>
      <c r="B21" s="8"/>
      <c r="C21" s="8"/>
      <c r="D21" s="8"/>
      <c r="E21" s="22"/>
      <c r="F21" s="8"/>
      <c r="G21" s="8"/>
      <c r="H21" s="8"/>
      <c r="I21" s="8"/>
      <c r="J21" s="8"/>
      <c r="K21" s="8"/>
    </row>
    <row r="22" spans="1:12" ht="15.45" x14ac:dyDescent="0.4">
      <c r="A22" s="8"/>
      <c r="B22" s="8"/>
      <c r="C22" s="8"/>
      <c r="D22" s="8"/>
      <c r="E22" s="19" t="s">
        <v>14</v>
      </c>
      <c r="F22" s="8"/>
      <c r="G22" s="8"/>
      <c r="H22" s="8"/>
      <c r="I22" s="8"/>
      <c r="J22" s="8"/>
      <c r="K22" s="8"/>
    </row>
    <row r="23" spans="1:12" ht="15.45" x14ac:dyDescent="0.4">
      <c r="A23" s="8"/>
      <c r="B23" s="8"/>
      <c r="C23" s="8"/>
      <c r="D23" s="8"/>
      <c r="E23" s="19" t="s">
        <v>15</v>
      </c>
      <c r="F23" s="8"/>
      <c r="G23" s="8"/>
      <c r="H23" s="8"/>
      <c r="I23" s="8"/>
      <c r="J23" s="8"/>
      <c r="K23" s="8"/>
    </row>
    <row r="25" spans="1:12" ht="15.45" x14ac:dyDescent="0.4">
      <c r="A25" s="22" t="s">
        <v>51</v>
      </c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</row>
    <row r="26" spans="1:12" ht="15.45" x14ac:dyDescent="0.4">
      <c r="A26" s="8" t="s">
        <v>52</v>
      </c>
      <c r="B26" s="8"/>
      <c r="C26" s="9" t="s">
        <v>28</v>
      </c>
      <c r="D26" s="8"/>
      <c r="E26" s="8"/>
      <c r="F26" s="8"/>
    </row>
    <row r="27" spans="1:12" ht="15.45" x14ac:dyDescent="0.4">
      <c r="A27" s="8"/>
      <c r="B27" s="8"/>
      <c r="C27" s="19">
        <v>11</v>
      </c>
      <c r="D27" s="8"/>
      <c r="E27" s="8"/>
      <c r="F27" s="8"/>
    </row>
    <row r="28" spans="1:12" ht="15.45" x14ac:dyDescent="0.4">
      <c r="A28" s="8"/>
      <c r="B28" s="8"/>
      <c r="C28" s="19">
        <v>18</v>
      </c>
      <c r="D28" s="8"/>
      <c r="E28" s="8"/>
      <c r="F28" s="8"/>
    </row>
    <row r="29" spans="1:12" ht="15.9" thickBot="1" x14ac:dyDescent="0.45">
      <c r="A29" s="8"/>
      <c r="B29" s="8"/>
      <c r="C29" s="19">
        <v>25</v>
      </c>
      <c r="D29" s="8"/>
      <c r="E29" s="8" t="s">
        <v>53</v>
      </c>
      <c r="F29" s="8"/>
      <c r="I29" s="46">
        <v>3200</v>
      </c>
    </row>
    <row r="30" spans="1:12" ht="15" thickTop="1" x14ac:dyDescent="0.4"/>
  </sheetData>
  <pageMargins left="0.7" right="0.7" top="0.75" bottom="0.75" header="0.3" footer="0.3"/>
  <pageSetup orientation="portrait" horizontalDpi="4294967293" verticalDpi="0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34"/>
  <sheetViews>
    <sheetView topLeftCell="A13" workbookViewId="0">
      <selection activeCell="A28" sqref="A28:I33"/>
    </sheetView>
  </sheetViews>
  <sheetFormatPr defaultRowHeight="14.6" x14ac:dyDescent="0.4"/>
  <cols>
    <col min="1" max="1" width="7.69140625" customWidth="1"/>
    <col min="2" max="2" width="0.84375" customWidth="1"/>
    <col min="4" max="4" width="0.84375" customWidth="1"/>
    <col min="5" max="5" width="19.07421875" customWidth="1"/>
    <col min="6" max="6" width="11" customWidth="1"/>
    <col min="7" max="7" width="1" customWidth="1"/>
    <col min="8" max="8" width="8.53515625" customWidth="1"/>
    <col min="9" max="9" width="10.3046875" bestFit="1" customWidth="1"/>
    <col min="10" max="10" width="1" customWidth="1"/>
    <col min="11" max="11" width="10.3046875" bestFit="1" customWidth="1"/>
  </cols>
  <sheetData>
    <row r="1" spans="1:12" ht="15.45" x14ac:dyDescent="0.4">
      <c r="A1" s="8"/>
      <c r="B1" s="8"/>
      <c r="C1" s="8"/>
      <c r="D1" s="8" t="s">
        <v>0</v>
      </c>
      <c r="E1" s="8"/>
      <c r="F1" s="8"/>
      <c r="G1" s="8"/>
      <c r="H1" s="8"/>
      <c r="I1" s="8"/>
      <c r="J1" s="8"/>
      <c r="K1" s="8"/>
    </row>
    <row r="2" spans="1:12" ht="15.45" x14ac:dyDescent="0.4">
      <c r="A2" s="8"/>
      <c r="B2" s="8"/>
      <c r="C2" s="8"/>
      <c r="D2" s="8" t="s">
        <v>18</v>
      </c>
      <c r="E2" s="8" t="s">
        <v>40</v>
      </c>
      <c r="F2" s="8"/>
      <c r="G2" s="8"/>
      <c r="H2" s="8"/>
      <c r="I2" s="8"/>
      <c r="J2" s="8"/>
      <c r="K2" s="8"/>
    </row>
    <row r="3" spans="1:12" ht="15.45" x14ac:dyDescent="0.4">
      <c r="A3" s="8"/>
      <c r="B3" s="8"/>
      <c r="C3" s="8"/>
      <c r="D3" s="18"/>
      <c r="E3" s="13" t="s">
        <v>54</v>
      </c>
      <c r="F3" s="8"/>
      <c r="G3" s="8"/>
      <c r="H3" s="8"/>
      <c r="I3" s="8"/>
      <c r="J3" s="8"/>
      <c r="K3" s="8"/>
    </row>
    <row r="4" spans="1:12" ht="15.45" x14ac:dyDescent="0.4">
      <c r="A4" s="8"/>
      <c r="B4" s="8"/>
      <c r="C4" s="8"/>
      <c r="D4" s="8"/>
      <c r="E4" s="8"/>
      <c r="F4" s="8"/>
      <c r="G4" s="8"/>
      <c r="H4" s="8"/>
      <c r="I4" s="8"/>
      <c r="J4" s="8"/>
      <c r="K4" s="8"/>
    </row>
    <row r="5" spans="1:12" ht="15.45" x14ac:dyDescent="0.4">
      <c r="A5" s="8"/>
      <c r="B5" s="8"/>
      <c r="C5" s="8"/>
      <c r="D5" s="8"/>
      <c r="E5" s="8"/>
      <c r="F5" s="19" t="s">
        <v>12</v>
      </c>
      <c r="G5" s="8"/>
      <c r="H5" s="8"/>
      <c r="I5" s="8"/>
      <c r="J5" s="8"/>
      <c r="K5" s="8"/>
    </row>
    <row r="6" spans="1:12" ht="15.45" x14ac:dyDescent="0.4">
      <c r="A6" s="20" t="s">
        <v>5</v>
      </c>
      <c r="B6" s="19"/>
      <c r="C6" s="20" t="s">
        <v>6</v>
      </c>
      <c r="D6" s="8"/>
      <c r="E6" s="20" t="s">
        <v>1</v>
      </c>
      <c r="F6" s="20" t="s">
        <v>3</v>
      </c>
      <c r="G6" s="8"/>
      <c r="H6" s="20" t="s">
        <v>4</v>
      </c>
      <c r="I6" s="20" t="s">
        <v>2</v>
      </c>
      <c r="J6" s="8"/>
      <c r="K6" s="20" t="s">
        <v>46</v>
      </c>
    </row>
    <row r="7" spans="1:12" ht="15.45" x14ac:dyDescent="0.4">
      <c r="A7" s="9"/>
      <c r="B7" s="19"/>
      <c r="C7" s="19"/>
      <c r="D7" s="8"/>
      <c r="E7" s="17"/>
      <c r="F7" s="21"/>
      <c r="G7" s="8"/>
      <c r="H7" s="19"/>
      <c r="I7" s="21"/>
      <c r="J7" s="8"/>
      <c r="K7" s="19"/>
    </row>
    <row r="8" spans="1:12" ht="15.45" x14ac:dyDescent="0.4">
      <c r="A8" s="9" t="s">
        <v>30</v>
      </c>
      <c r="B8" s="19"/>
      <c r="C8" s="19">
        <v>1873</v>
      </c>
      <c r="D8" s="8"/>
      <c r="E8" s="17" t="s">
        <v>20</v>
      </c>
      <c r="F8" s="21"/>
      <c r="G8" s="8"/>
      <c r="H8" s="25"/>
      <c r="I8" s="21">
        <v>100</v>
      </c>
      <c r="J8" s="8"/>
      <c r="K8" s="19"/>
      <c r="L8" s="8"/>
    </row>
    <row r="9" spans="1:12" ht="15.45" x14ac:dyDescent="0.4">
      <c r="A9" s="9" t="s">
        <v>16</v>
      </c>
      <c r="B9" s="11"/>
      <c r="C9" s="19">
        <v>1874</v>
      </c>
      <c r="D9" s="11"/>
      <c r="E9" s="12" t="s">
        <v>39</v>
      </c>
      <c r="F9" s="21"/>
      <c r="G9" s="8"/>
      <c r="H9" s="19"/>
      <c r="I9" s="21">
        <v>1000</v>
      </c>
      <c r="J9" s="8"/>
      <c r="K9" s="21"/>
      <c r="L9" s="8"/>
    </row>
    <row r="10" spans="1:12" ht="15.45" x14ac:dyDescent="0.4">
      <c r="A10" s="9" t="s">
        <v>16</v>
      </c>
      <c r="B10" s="11"/>
      <c r="C10" s="19">
        <v>1875</v>
      </c>
      <c r="D10" s="11"/>
      <c r="E10" s="12" t="s">
        <v>43</v>
      </c>
      <c r="F10" s="21"/>
      <c r="G10" s="8"/>
      <c r="H10" s="19"/>
      <c r="I10" s="21">
        <v>500</v>
      </c>
      <c r="J10" s="8"/>
      <c r="K10" s="21"/>
    </row>
    <row r="11" spans="1:12" ht="15.45" x14ac:dyDescent="0.4">
      <c r="A11" s="9">
        <v>16</v>
      </c>
      <c r="B11" s="13"/>
      <c r="C11" s="19">
        <v>1876</v>
      </c>
      <c r="D11" s="13"/>
      <c r="E11" s="17" t="s">
        <v>23</v>
      </c>
      <c r="F11" s="21"/>
      <c r="G11" s="8"/>
      <c r="H11" s="19"/>
      <c r="I11" s="21">
        <v>500</v>
      </c>
      <c r="J11" s="8"/>
      <c r="K11" s="21"/>
    </row>
    <row r="12" spans="1:12" ht="15.45" x14ac:dyDescent="0.4">
      <c r="A12" s="9">
        <v>16</v>
      </c>
      <c r="B12" s="19"/>
      <c r="C12" s="19">
        <v>1877</v>
      </c>
      <c r="D12" s="8"/>
      <c r="E12" s="17" t="s">
        <v>55</v>
      </c>
      <c r="F12" s="21"/>
      <c r="G12" s="8"/>
      <c r="H12" s="19"/>
      <c r="I12" s="21">
        <v>100</v>
      </c>
      <c r="J12" s="8"/>
      <c r="K12" s="19"/>
    </row>
    <row r="13" spans="1:12" ht="15.45" x14ac:dyDescent="0.4">
      <c r="A13" s="9">
        <v>16</v>
      </c>
      <c r="B13" s="19"/>
      <c r="C13" s="19">
        <v>1878</v>
      </c>
      <c r="D13" s="8"/>
      <c r="E13" s="17" t="s">
        <v>44</v>
      </c>
      <c r="F13" s="21"/>
      <c r="G13" s="8"/>
      <c r="H13" s="19"/>
      <c r="I13" s="21">
        <v>100</v>
      </c>
      <c r="J13" s="8"/>
      <c r="K13" s="19"/>
      <c r="L13" s="3"/>
    </row>
    <row r="14" spans="1:12" ht="15.45" x14ac:dyDescent="0.4">
      <c r="A14" s="9">
        <v>16</v>
      </c>
      <c r="B14" s="19"/>
      <c r="C14" s="19">
        <v>1879</v>
      </c>
      <c r="D14" s="8"/>
      <c r="E14" s="17" t="s">
        <v>56</v>
      </c>
      <c r="F14" s="21"/>
      <c r="G14" s="8"/>
      <c r="H14" s="19"/>
      <c r="I14" s="21">
        <v>100</v>
      </c>
      <c r="J14" s="8"/>
      <c r="K14" s="19"/>
      <c r="L14" s="3"/>
    </row>
    <row r="15" spans="1:12" ht="15.45" x14ac:dyDescent="0.4">
      <c r="A15" s="9">
        <v>16</v>
      </c>
      <c r="B15" s="19"/>
      <c r="C15" s="19">
        <v>1880</v>
      </c>
      <c r="D15" s="8"/>
      <c r="E15" s="17" t="s">
        <v>22</v>
      </c>
      <c r="F15" s="21"/>
      <c r="G15" s="8"/>
      <c r="H15" s="21">
        <v>200</v>
      </c>
      <c r="I15" s="21">
        <v>1000</v>
      </c>
      <c r="J15" s="8"/>
      <c r="K15" s="19"/>
      <c r="L15" s="3"/>
    </row>
    <row r="16" spans="1:12" ht="15.45" x14ac:dyDescent="0.4">
      <c r="A16" s="9">
        <v>23</v>
      </c>
      <c r="B16" s="19"/>
      <c r="C16" s="19">
        <v>1881</v>
      </c>
      <c r="D16" s="8"/>
      <c r="E16" s="17" t="s">
        <v>23</v>
      </c>
      <c r="F16" s="21"/>
      <c r="G16" s="8"/>
      <c r="H16" s="19"/>
      <c r="I16" s="21">
        <v>200</v>
      </c>
      <c r="J16" s="8"/>
      <c r="K16" s="19"/>
      <c r="L16" s="3"/>
    </row>
    <row r="17" spans="1:12" ht="15.45" x14ac:dyDescent="0.4">
      <c r="A17" s="9">
        <v>23</v>
      </c>
      <c r="B17" s="19"/>
      <c r="C17" s="19">
        <v>1882</v>
      </c>
      <c r="D17" s="8"/>
      <c r="E17" s="17" t="s">
        <v>45</v>
      </c>
      <c r="F17" s="21"/>
      <c r="G17" s="8"/>
      <c r="H17" s="19"/>
      <c r="I17" s="21">
        <v>100</v>
      </c>
      <c r="J17" s="8"/>
      <c r="K17" s="19"/>
      <c r="L17" s="3"/>
    </row>
    <row r="18" spans="1:12" ht="15.45" x14ac:dyDescent="0.4">
      <c r="A18" s="9">
        <v>30</v>
      </c>
      <c r="B18" s="19"/>
      <c r="C18" s="19">
        <v>1883</v>
      </c>
      <c r="D18" s="8"/>
      <c r="E18" s="17" t="s">
        <v>41</v>
      </c>
      <c r="F18" s="21"/>
      <c r="G18" s="8"/>
      <c r="H18" s="19"/>
      <c r="I18" s="21">
        <v>100</v>
      </c>
      <c r="J18" s="8"/>
      <c r="K18" s="19"/>
      <c r="L18" s="3"/>
    </row>
    <row r="19" spans="1:12" ht="15.45" x14ac:dyDescent="0.4">
      <c r="A19" s="9"/>
      <c r="B19" s="8"/>
      <c r="C19" s="19"/>
      <c r="D19" s="8"/>
      <c r="E19" s="8"/>
      <c r="F19" s="10"/>
      <c r="G19" s="10"/>
      <c r="H19" s="14"/>
      <c r="I19" s="16"/>
      <c r="J19" s="11"/>
      <c r="K19" s="12"/>
    </row>
    <row r="20" spans="1:12" ht="15.45" x14ac:dyDescent="0.4">
      <c r="A20" s="9"/>
      <c r="B20" s="8"/>
      <c r="C20" s="19"/>
      <c r="D20" s="8"/>
      <c r="E20" s="8"/>
      <c r="F20" s="10"/>
      <c r="G20" s="10"/>
      <c r="H20" s="14"/>
      <c r="I20" s="14">
        <f>SUM(I8:I18)</f>
        <v>3800</v>
      </c>
      <c r="J20" s="11"/>
      <c r="K20" s="12"/>
    </row>
    <row r="21" spans="1:12" ht="15.45" x14ac:dyDescent="0.4">
      <c r="A21" s="9"/>
      <c r="B21" s="8"/>
      <c r="C21" s="19"/>
      <c r="D21" s="8"/>
      <c r="E21" s="8"/>
      <c r="F21" s="10"/>
      <c r="G21" s="10"/>
      <c r="H21" s="14"/>
      <c r="I21" s="14"/>
      <c r="J21" s="11"/>
      <c r="K21" s="12"/>
    </row>
    <row r="22" spans="1:12" ht="15.45" x14ac:dyDescent="0.4">
      <c r="A22" s="8"/>
      <c r="B22" s="8"/>
      <c r="C22" s="8" t="s">
        <v>13</v>
      </c>
      <c r="D22" s="8"/>
      <c r="E22" s="8"/>
      <c r="F22" s="8"/>
      <c r="G22" s="8"/>
      <c r="H22" s="8"/>
      <c r="I22" s="8"/>
      <c r="J22" s="8"/>
      <c r="K22" s="8"/>
    </row>
    <row r="23" spans="1:12" ht="15.45" x14ac:dyDescent="0.4">
      <c r="A23" s="8"/>
      <c r="B23" s="8"/>
      <c r="C23" s="8"/>
      <c r="D23" s="8"/>
      <c r="E23" s="22"/>
      <c r="F23" s="8"/>
      <c r="G23" s="8"/>
      <c r="H23" s="8"/>
      <c r="I23" s="8"/>
      <c r="J23" s="8"/>
      <c r="K23" s="8"/>
    </row>
    <row r="24" spans="1:12" ht="15.45" x14ac:dyDescent="0.4">
      <c r="A24" s="8"/>
      <c r="B24" s="8"/>
      <c r="C24" s="8"/>
      <c r="D24" s="8"/>
      <c r="E24" s="19" t="s">
        <v>14</v>
      </c>
      <c r="F24" s="8"/>
      <c r="G24" s="8"/>
      <c r="H24" s="8"/>
      <c r="I24" s="8"/>
      <c r="J24" s="8"/>
      <c r="K24" s="8"/>
    </row>
    <row r="25" spans="1:12" ht="15.45" x14ac:dyDescent="0.4">
      <c r="A25" s="8"/>
      <c r="B25" s="8"/>
      <c r="C25" s="8"/>
      <c r="D25" s="8"/>
      <c r="E25" s="19" t="s">
        <v>15</v>
      </c>
      <c r="F25" s="8"/>
      <c r="G25" s="8"/>
      <c r="H25" s="8"/>
      <c r="I25" s="8"/>
      <c r="J25" s="8"/>
      <c r="K25" s="8"/>
    </row>
    <row r="27" spans="1:12" ht="15.45" x14ac:dyDescent="0.4">
      <c r="A27" s="8"/>
      <c r="B27" s="8"/>
      <c r="C27" s="8"/>
      <c r="D27" s="8"/>
      <c r="E27" s="8"/>
      <c r="F27" s="44"/>
      <c r="G27" s="8"/>
      <c r="H27" s="8"/>
      <c r="I27" s="8"/>
      <c r="J27" s="8"/>
      <c r="K27" s="8"/>
    </row>
    <row r="28" spans="1:12" ht="15.45" x14ac:dyDescent="0.4">
      <c r="A28" s="22" t="s">
        <v>51</v>
      </c>
      <c r="B28" s="8"/>
      <c r="C28" s="8"/>
      <c r="D28" s="8"/>
      <c r="E28" s="8"/>
      <c r="F28" s="8"/>
      <c r="G28" s="8"/>
      <c r="H28" s="8"/>
      <c r="I28" s="8"/>
      <c r="J28" s="8"/>
      <c r="K28" s="8"/>
    </row>
    <row r="29" spans="1:12" ht="15.45" x14ac:dyDescent="0.4">
      <c r="A29" s="8" t="s">
        <v>57</v>
      </c>
      <c r="B29" s="8"/>
      <c r="C29" s="9" t="s">
        <v>30</v>
      </c>
      <c r="D29" s="8"/>
      <c r="E29" s="8"/>
      <c r="F29" s="8"/>
      <c r="G29" s="8"/>
      <c r="H29" s="8"/>
      <c r="I29" s="8"/>
      <c r="J29" s="8"/>
      <c r="K29" s="8"/>
    </row>
    <row r="30" spans="1:12" ht="15.45" x14ac:dyDescent="0.4">
      <c r="A30" s="8"/>
      <c r="B30" s="8"/>
      <c r="C30" s="9" t="s">
        <v>29</v>
      </c>
      <c r="D30" s="8"/>
      <c r="E30" s="8"/>
      <c r="F30" s="8"/>
      <c r="G30" s="8"/>
      <c r="H30" s="8"/>
      <c r="I30" s="8"/>
      <c r="J30" s="8"/>
      <c r="K30" s="8"/>
    </row>
    <row r="31" spans="1:12" ht="15.45" x14ac:dyDescent="0.4">
      <c r="A31" s="8"/>
      <c r="B31" s="8"/>
      <c r="C31" s="19">
        <v>16</v>
      </c>
      <c r="D31" s="8"/>
      <c r="E31" s="8"/>
      <c r="F31" s="8"/>
      <c r="G31" s="8"/>
      <c r="H31" s="8"/>
      <c r="I31" s="8"/>
      <c r="J31" s="8"/>
      <c r="K31" s="8"/>
    </row>
    <row r="32" spans="1:12" ht="15.45" x14ac:dyDescent="0.4">
      <c r="A32" s="8"/>
      <c r="B32" s="8"/>
      <c r="C32" s="19">
        <v>23</v>
      </c>
      <c r="D32" s="8"/>
      <c r="E32" s="8"/>
      <c r="F32" s="8"/>
      <c r="G32" s="8"/>
      <c r="H32" s="8"/>
      <c r="I32" s="8"/>
      <c r="J32" s="8"/>
      <c r="K32" s="8"/>
    </row>
    <row r="33" spans="1:11" ht="15.9" thickBot="1" x14ac:dyDescent="0.45">
      <c r="A33" s="8"/>
      <c r="B33" s="8"/>
      <c r="C33" s="19">
        <v>30</v>
      </c>
      <c r="D33" s="8"/>
      <c r="E33" s="8" t="s">
        <v>58</v>
      </c>
      <c r="F33" s="8"/>
      <c r="G33" s="8"/>
      <c r="H33" s="8"/>
      <c r="I33" s="47">
        <v>4000</v>
      </c>
      <c r="J33" s="8"/>
      <c r="K33" s="8"/>
    </row>
    <row r="34" spans="1:11" ht="15.9" thickTop="1" x14ac:dyDescent="0.4">
      <c r="A34" s="8"/>
      <c r="B34" s="8"/>
      <c r="C34" s="19"/>
      <c r="D34" s="8"/>
      <c r="E34" s="8"/>
      <c r="F34" s="8"/>
      <c r="G34" s="8"/>
      <c r="H34" s="8"/>
      <c r="I34" s="8"/>
      <c r="J34" s="8"/>
      <c r="K34" s="8"/>
    </row>
  </sheetData>
  <pageMargins left="0.7" right="0.7" top="0.75" bottom="0.75" header="0.3" footer="0.3"/>
  <pageSetup orientation="portrait" horizontalDpi="4294967293" verticalDpi="0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51"/>
  <sheetViews>
    <sheetView workbookViewId="0">
      <selection activeCell="E50" sqref="E50"/>
    </sheetView>
  </sheetViews>
  <sheetFormatPr defaultRowHeight="14.6" x14ac:dyDescent="0.4"/>
  <cols>
    <col min="1" max="1" width="6.53515625" customWidth="1"/>
    <col min="2" max="2" width="0.84375" customWidth="1"/>
    <col min="4" max="4" width="0.84375" customWidth="1"/>
    <col min="5" max="5" width="18.53515625" customWidth="1"/>
    <col min="6" max="6" width="10.3046875" customWidth="1"/>
    <col min="7" max="7" width="1" customWidth="1"/>
    <col min="8" max="8" width="9.53515625" customWidth="1"/>
    <col min="9" max="9" width="10.84375" customWidth="1"/>
    <col min="10" max="10" width="0.84375" customWidth="1"/>
    <col min="11" max="11" width="10.3046875" bestFit="1" customWidth="1"/>
    <col min="12" max="12" width="0.84375" customWidth="1"/>
    <col min="13" max="13" width="10.3046875" bestFit="1" customWidth="1"/>
  </cols>
  <sheetData>
    <row r="1" spans="1:14" ht="15.45" x14ac:dyDescent="0.4">
      <c r="A1" s="8"/>
      <c r="B1" s="8"/>
      <c r="C1" s="8"/>
      <c r="D1" s="8" t="s">
        <v>0</v>
      </c>
      <c r="E1" s="8"/>
      <c r="F1" s="8"/>
      <c r="G1" s="8"/>
      <c r="H1" s="8"/>
      <c r="I1" s="8"/>
      <c r="J1" s="8"/>
      <c r="K1" s="8"/>
      <c r="L1" s="8"/>
    </row>
    <row r="2" spans="1:14" ht="15.45" x14ac:dyDescent="0.4">
      <c r="A2" s="8"/>
      <c r="B2" s="8"/>
      <c r="C2" s="8"/>
      <c r="D2" s="8" t="s">
        <v>18</v>
      </c>
      <c r="E2" s="8" t="s">
        <v>40</v>
      </c>
      <c r="F2" s="8"/>
      <c r="G2" s="8"/>
      <c r="H2" s="8"/>
      <c r="I2" s="8"/>
      <c r="J2" s="8"/>
      <c r="K2" s="8"/>
      <c r="L2" s="8"/>
    </row>
    <row r="3" spans="1:14" ht="15.45" x14ac:dyDescent="0.4">
      <c r="A3" s="8"/>
      <c r="B3" s="8"/>
      <c r="C3" s="8"/>
      <c r="D3" s="18"/>
      <c r="E3" s="13" t="s">
        <v>93</v>
      </c>
      <c r="F3" s="8"/>
      <c r="G3" s="8"/>
      <c r="H3" s="13" t="s">
        <v>94</v>
      </c>
      <c r="I3" s="8"/>
      <c r="J3" s="8"/>
      <c r="K3" s="8"/>
      <c r="L3" s="8"/>
    </row>
    <row r="4" spans="1:14" ht="15.45" x14ac:dyDescent="0.4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</row>
    <row r="5" spans="1:14" ht="15.45" x14ac:dyDescent="0.4">
      <c r="A5" s="8"/>
      <c r="B5" s="8"/>
      <c r="C5" s="8"/>
      <c r="D5" s="8"/>
      <c r="E5" s="8"/>
      <c r="F5" s="19" t="s">
        <v>12</v>
      </c>
      <c r="G5" s="8"/>
      <c r="H5" s="8"/>
      <c r="I5" s="19" t="s">
        <v>80</v>
      </c>
      <c r="J5" s="8"/>
      <c r="K5" s="8" t="s">
        <v>63</v>
      </c>
      <c r="L5" s="8"/>
      <c r="M5" s="50" t="s">
        <v>65</v>
      </c>
    </row>
    <row r="6" spans="1:14" ht="15.45" x14ac:dyDescent="0.4">
      <c r="A6" s="20" t="s">
        <v>5</v>
      </c>
      <c r="B6" s="19"/>
      <c r="C6" s="20" t="s">
        <v>6</v>
      </c>
      <c r="D6" s="8"/>
      <c r="E6" s="20" t="s">
        <v>1</v>
      </c>
      <c r="F6" s="20" t="s">
        <v>3</v>
      </c>
      <c r="G6" s="8"/>
      <c r="H6" s="20" t="s">
        <v>4</v>
      </c>
      <c r="I6" s="20" t="s">
        <v>81</v>
      </c>
      <c r="J6" s="8"/>
      <c r="K6" s="53" t="s">
        <v>64</v>
      </c>
      <c r="L6" s="53"/>
      <c r="M6" s="63" t="s">
        <v>2</v>
      </c>
      <c r="N6" s="19"/>
    </row>
    <row r="7" spans="1:14" ht="15.45" x14ac:dyDescent="0.4">
      <c r="A7" s="9"/>
      <c r="B7" s="19"/>
      <c r="C7" s="19"/>
      <c r="D7" s="8"/>
      <c r="E7" s="17"/>
      <c r="F7" s="21"/>
      <c r="G7" s="8"/>
      <c r="H7" s="19"/>
      <c r="I7" s="21"/>
      <c r="J7" s="8"/>
      <c r="K7" s="19"/>
      <c r="L7" s="19"/>
      <c r="M7" s="8"/>
    </row>
    <row r="8" spans="1:14" ht="15.9" x14ac:dyDescent="0.45">
      <c r="A8" s="9" t="s">
        <v>21</v>
      </c>
      <c r="B8" s="19"/>
      <c r="C8" s="19">
        <v>2113</v>
      </c>
      <c r="D8" s="8"/>
      <c r="E8" s="17" t="s">
        <v>44</v>
      </c>
      <c r="F8" s="21">
        <v>100</v>
      </c>
      <c r="G8" s="8"/>
      <c r="H8" s="19"/>
      <c r="I8" s="21"/>
      <c r="J8" s="8"/>
      <c r="K8" s="19"/>
      <c r="L8" s="19"/>
      <c r="M8" s="57"/>
      <c r="N8" s="56"/>
    </row>
    <row r="9" spans="1:14" ht="15.9" x14ac:dyDescent="0.45">
      <c r="A9" s="9" t="s">
        <v>21</v>
      </c>
      <c r="B9" s="19"/>
      <c r="C9" s="19">
        <v>2114</v>
      </c>
      <c r="D9" s="8"/>
      <c r="E9" s="17" t="s">
        <v>74</v>
      </c>
      <c r="F9" s="21">
        <v>50</v>
      </c>
      <c r="G9" s="8"/>
      <c r="H9" s="25"/>
      <c r="I9" s="21"/>
      <c r="J9" s="8"/>
      <c r="K9" s="21"/>
      <c r="L9" s="21"/>
      <c r="M9" s="57"/>
      <c r="N9" s="56"/>
    </row>
    <row r="10" spans="1:14" ht="15.9" x14ac:dyDescent="0.45">
      <c r="A10" s="52" t="s">
        <v>21</v>
      </c>
      <c r="B10" s="8"/>
      <c r="C10" s="19">
        <v>2115</v>
      </c>
      <c r="D10" s="8"/>
      <c r="E10" s="8" t="s">
        <v>44</v>
      </c>
      <c r="F10" s="21"/>
      <c r="G10" s="8"/>
      <c r="H10" s="19">
        <v>50</v>
      </c>
      <c r="I10" s="21"/>
      <c r="J10" s="8"/>
      <c r="K10" s="21"/>
      <c r="L10" s="21"/>
      <c r="M10" s="57"/>
      <c r="N10" s="56"/>
    </row>
    <row r="11" spans="1:14" ht="15.45" x14ac:dyDescent="0.4">
      <c r="A11" s="9" t="s">
        <v>21</v>
      </c>
      <c r="B11" s="11"/>
      <c r="C11" s="19">
        <v>2116</v>
      </c>
      <c r="D11" s="11"/>
      <c r="E11" s="12" t="s">
        <v>33</v>
      </c>
      <c r="F11" s="21">
        <v>100</v>
      </c>
      <c r="G11" s="8"/>
      <c r="H11" s="19"/>
      <c r="I11" s="21"/>
      <c r="J11" s="8"/>
      <c r="K11" s="19"/>
      <c r="L11" s="19"/>
    </row>
    <row r="12" spans="1:14" ht="15.45" x14ac:dyDescent="0.4">
      <c r="A12" s="9" t="s">
        <v>21</v>
      </c>
      <c r="B12" s="13"/>
      <c r="C12" s="19">
        <v>2117</v>
      </c>
      <c r="D12" s="13"/>
      <c r="E12" s="17" t="s">
        <v>41</v>
      </c>
      <c r="F12" s="54">
        <v>100</v>
      </c>
      <c r="G12" s="8"/>
      <c r="H12" s="19"/>
      <c r="I12" s="54"/>
      <c r="J12" s="8"/>
      <c r="K12" s="54"/>
      <c r="L12" s="54"/>
      <c r="M12" s="41"/>
    </row>
    <row r="13" spans="1:14" ht="15.45" x14ac:dyDescent="0.4">
      <c r="A13" s="9"/>
      <c r="B13" s="13"/>
      <c r="C13" s="19"/>
      <c r="D13" s="13"/>
      <c r="E13" s="17"/>
      <c r="F13" s="42">
        <v>100</v>
      </c>
      <c r="G13" s="8"/>
      <c r="H13" s="19"/>
      <c r="I13" s="21">
        <v>450</v>
      </c>
      <c r="J13" s="8"/>
      <c r="K13" s="21">
        <v>550</v>
      </c>
      <c r="L13" s="21"/>
      <c r="M13" s="10">
        <v>1000</v>
      </c>
    </row>
    <row r="14" spans="1:14" ht="15.45" x14ac:dyDescent="0.4">
      <c r="A14" s="9">
        <v>12</v>
      </c>
      <c r="B14" s="13"/>
      <c r="C14" s="19">
        <v>2118</v>
      </c>
      <c r="D14" s="13"/>
      <c r="E14" s="17" t="s">
        <v>74</v>
      </c>
      <c r="F14" s="21">
        <v>100</v>
      </c>
      <c r="G14" s="8"/>
      <c r="H14" s="19"/>
      <c r="I14" s="21"/>
      <c r="J14" s="8"/>
      <c r="K14" s="19"/>
      <c r="L14" s="19"/>
    </row>
    <row r="15" spans="1:14" ht="15.45" x14ac:dyDescent="0.4">
      <c r="A15" s="9">
        <v>12</v>
      </c>
      <c r="B15" s="19"/>
      <c r="C15" s="19">
        <v>2119</v>
      </c>
      <c r="D15" s="8"/>
      <c r="E15" s="17" t="s">
        <v>44</v>
      </c>
      <c r="F15" s="21">
        <v>100</v>
      </c>
      <c r="G15" s="8"/>
      <c r="H15" s="19"/>
      <c r="I15" s="21"/>
      <c r="J15" s="8"/>
      <c r="K15" s="19"/>
      <c r="L15" s="19"/>
    </row>
    <row r="16" spans="1:14" ht="15.45" x14ac:dyDescent="0.4">
      <c r="A16" s="9">
        <v>12</v>
      </c>
      <c r="B16" s="19"/>
      <c r="C16" s="19">
        <v>2120</v>
      </c>
      <c r="D16" s="8"/>
      <c r="E16" s="17" t="s">
        <v>85</v>
      </c>
      <c r="F16" s="21">
        <v>100</v>
      </c>
      <c r="G16" s="8"/>
      <c r="H16" s="19"/>
      <c r="I16" s="21"/>
      <c r="J16" s="8"/>
      <c r="K16" s="19"/>
      <c r="L16" s="19"/>
    </row>
    <row r="17" spans="1:13" ht="15.45" x14ac:dyDescent="0.4">
      <c r="A17" s="9">
        <v>12</v>
      </c>
      <c r="B17" s="19"/>
      <c r="C17" s="19">
        <v>2121</v>
      </c>
      <c r="D17" s="8"/>
      <c r="E17" s="17" t="s">
        <v>41</v>
      </c>
      <c r="F17" s="21">
        <v>100</v>
      </c>
      <c r="G17" s="8"/>
      <c r="H17" s="19"/>
      <c r="I17" s="21"/>
      <c r="J17" s="8"/>
      <c r="K17" s="19"/>
      <c r="L17" s="19"/>
    </row>
    <row r="18" spans="1:13" ht="15.45" x14ac:dyDescent="0.4">
      <c r="A18" s="9">
        <v>12</v>
      </c>
      <c r="B18" s="19"/>
      <c r="C18" s="19">
        <v>2122</v>
      </c>
      <c r="D18" s="8"/>
      <c r="E18" s="17" t="s">
        <v>86</v>
      </c>
      <c r="F18" s="21">
        <v>500</v>
      </c>
      <c r="G18" s="8"/>
      <c r="H18" s="19"/>
      <c r="I18" s="21"/>
      <c r="J18" s="8"/>
      <c r="K18" s="19"/>
      <c r="L18" s="19"/>
    </row>
    <row r="19" spans="1:13" ht="15.45" x14ac:dyDescent="0.4">
      <c r="A19" s="9">
        <v>12</v>
      </c>
      <c r="B19" s="19"/>
      <c r="C19" s="19"/>
      <c r="D19" s="8"/>
      <c r="E19" s="17" t="s">
        <v>87</v>
      </c>
      <c r="F19" s="42">
        <v>100</v>
      </c>
      <c r="G19" s="8"/>
      <c r="H19" s="19"/>
      <c r="I19" s="21">
        <v>1000</v>
      </c>
      <c r="J19" s="8"/>
      <c r="K19" s="19"/>
      <c r="L19" s="19"/>
      <c r="M19" s="10">
        <v>1000</v>
      </c>
    </row>
    <row r="20" spans="1:13" ht="15.45" x14ac:dyDescent="0.4">
      <c r="A20" s="9">
        <v>16</v>
      </c>
      <c r="B20" s="19"/>
      <c r="C20" s="19">
        <v>2123</v>
      </c>
      <c r="D20" s="8"/>
      <c r="E20" s="17" t="s">
        <v>23</v>
      </c>
      <c r="F20" s="21">
        <v>1000</v>
      </c>
      <c r="G20" s="8"/>
      <c r="H20" s="17" t="s">
        <v>92</v>
      </c>
      <c r="I20" s="21"/>
      <c r="J20" s="8"/>
      <c r="K20" s="19"/>
      <c r="L20" s="19"/>
    </row>
    <row r="21" spans="1:13" ht="15.45" x14ac:dyDescent="0.4">
      <c r="A21" s="9" t="s">
        <v>35</v>
      </c>
      <c r="B21" s="19"/>
      <c r="C21" s="19">
        <v>2124</v>
      </c>
      <c r="D21" s="8"/>
      <c r="E21" s="17" t="s">
        <v>14</v>
      </c>
      <c r="F21" s="21">
        <v>1000</v>
      </c>
      <c r="G21" s="8"/>
      <c r="H21" s="17" t="s">
        <v>92</v>
      </c>
      <c r="I21" s="21"/>
      <c r="J21" s="8"/>
      <c r="K21" s="19"/>
      <c r="L21" s="19"/>
    </row>
    <row r="22" spans="1:13" ht="15.45" x14ac:dyDescent="0.4">
      <c r="A22" s="9" t="s">
        <v>26</v>
      </c>
      <c r="B22" s="19"/>
      <c r="C22" s="19">
        <v>2125</v>
      </c>
      <c r="D22" s="8"/>
      <c r="E22" s="17" t="s">
        <v>88</v>
      </c>
      <c r="F22" s="21"/>
      <c r="G22" s="8"/>
      <c r="H22" s="19">
        <v>100</v>
      </c>
      <c r="I22" s="21"/>
      <c r="J22" s="8"/>
      <c r="K22" s="19"/>
      <c r="L22" s="19"/>
    </row>
    <row r="23" spans="1:13" ht="15.45" x14ac:dyDescent="0.4">
      <c r="A23" s="9" t="s">
        <v>26</v>
      </c>
      <c r="B23" s="19"/>
      <c r="C23" s="19">
        <v>2126</v>
      </c>
      <c r="D23" s="8"/>
      <c r="E23" s="17" t="s">
        <v>20</v>
      </c>
      <c r="F23" s="21">
        <v>1000</v>
      </c>
      <c r="G23" s="8"/>
      <c r="H23" s="17" t="s">
        <v>92</v>
      </c>
      <c r="I23" s="21"/>
      <c r="J23" s="8"/>
      <c r="K23" s="19"/>
      <c r="L23" s="19"/>
    </row>
    <row r="24" spans="1:13" ht="15.45" x14ac:dyDescent="0.4">
      <c r="A24" s="9" t="s">
        <v>26</v>
      </c>
      <c r="B24" s="19"/>
      <c r="C24" s="19">
        <v>2127</v>
      </c>
      <c r="D24" s="8"/>
      <c r="E24" s="17" t="s">
        <v>85</v>
      </c>
      <c r="F24" s="21">
        <v>100</v>
      </c>
      <c r="G24" s="8"/>
      <c r="H24" s="19"/>
      <c r="I24" s="21"/>
      <c r="J24" s="8"/>
      <c r="K24" s="19"/>
      <c r="L24" s="19"/>
    </row>
    <row r="25" spans="1:13" ht="15.45" x14ac:dyDescent="0.4">
      <c r="A25" s="9" t="s">
        <v>26</v>
      </c>
      <c r="B25" s="19"/>
      <c r="C25" s="19">
        <v>2128</v>
      </c>
      <c r="D25" s="8"/>
      <c r="E25" s="17" t="s">
        <v>74</v>
      </c>
      <c r="F25" s="21">
        <v>500</v>
      </c>
      <c r="G25" s="8"/>
      <c r="H25" s="17" t="s">
        <v>92</v>
      </c>
      <c r="I25" s="21"/>
      <c r="J25" s="8"/>
      <c r="K25" s="19"/>
      <c r="L25" s="19"/>
    </row>
    <row r="26" spans="1:13" ht="15.45" x14ac:dyDescent="0.4">
      <c r="A26" s="9" t="s">
        <v>26</v>
      </c>
      <c r="B26" s="19"/>
      <c r="C26" s="19">
        <v>2129</v>
      </c>
      <c r="D26" s="8"/>
      <c r="E26" s="17" t="s">
        <v>66</v>
      </c>
      <c r="F26" s="21">
        <v>110</v>
      </c>
      <c r="G26" s="8"/>
      <c r="H26" s="19"/>
      <c r="I26" s="54"/>
      <c r="J26" s="8"/>
      <c r="K26" s="19"/>
      <c r="L26" s="19"/>
    </row>
    <row r="27" spans="1:13" ht="15.45" x14ac:dyDescent="0.4">
      <c r="A27" s="9" t="s">
        <v>26</v>
      </c>
      <c r="B27" s="19"/>
      <c r="C27" s="19">
        <v>2130</v>
      </c>
      <c r="D27" s="8"/>
      <c r="E27" s="17" t="s">
        <v>10</v>
      </c>
      <c r="F27" s="21">
        <v>100</v>
      </c>
      <c r="G27" s="8"/>
      <c r="H27" s="19"/>
      <c r="I27" s="54"/>
      <c r="J27" s="8"/>
      <c r="K27" s="19"/>
      <c r="L27" s="19"/>
    </row>
    <row r="28" spans="1:13" ht="15.45" x14ac:dyDescent="0.4">
      <c r="A28" s="9" t="s">
        <v>26</v>
      </c>
      <c r="B28" s="19"/>
      <c r="C28" s="19">
        <v>2131</v>
      </c>
      <c r="D28" s="8"/>
      <c r="E28" s="17" t="s">
        <v>41</v>
      </c>
      <c r="F28" s="21">
        <v>100</v>
      </c>
      <c r="G28" s="8"/>
      <c r="H28" s="19"/>
      <c r="I28" s="54"/>
      <c r="J28" s="8"/>
      <c r="K28" s="19"/>
      <c r="L28" s="19"/>
    </row>
    <row r="29" spans="1:13" ht="15.45" x14ac:dyDescent="0.4">
      <c r="A29" s="9" t="s">
        <v>26</v>
      </c>
      <c r="B29" s="19"/>
      <c r="C29" s="19">
        <v>2132</v>
      </c>
      <c r="D29" s="8"/>
      <c r="E29" s="17" t="s">
        <v>89</v>
      </c>
      <c r="F29" s="21">
        <v>150</v>
      </c>
      <c r="G29" s="8"/>
      <c r="H29" s="19"/>
      <c r="I29" s="54">
        <v>560</v>
      </c>
      <c r="J29" s="8"/>
      <c r="K29" s="54">
        <v>440</v>
      </c>
      <c r="L29" s="54"/>
      <c r="M29" s="41">
        <v>1000</v>
      </c>
    </row>
    <row r="30" spans="1:13" ht="15.45" x14ac:dyDescent="0.4">
      <c r="A30" s="9">
        <v>26</v>
      </c>
      <c r="B30" s="19"/>
      <c r="C30" s="19">
        <v>2133</v>
      </c>
      <c r="D30" s="8"/>
      <c r="E30" s="17" t="s">
        <v>75</v>
      </c>
      <c r="F30" s="21">
        <v>1000</v>
      </c>
      <c r="G30" s="8"/>
      <c r="H30" s="17" t="s">
        <v>92</v>
      </c>
      <c r="I30" s="54"/>
      <c r="J30" s="8"/>
      <c r="K30" s="54"/>
      <c r="L30" s="54"/>
      <c r="M30" s="41"/>
    </row>
    <row r="31" spans="1:13" ht="15.45" x14ac:dyDescent="0.4">
      <c r="A31" s="9">
        <v>26</v>
      </c>
      <c r="B31" s="19"/>
      <c r="C31" s="19">
        <v>2134</v>
      </c>
      <c r="D31" s="8"/>
      <c r="E31" s="17" t="s">
        <v>74</v>
      </c>
      <c r="F31" s="21">
        <v>100</v>
      </c>
      <c r="G31" s="8"/>
      <c r="H31" s="19"/>
      <c r="I31" s="54"/>
      <c r="J31" s="8"/>
      <c r="K31" s="54"/>
      <c r="L31" s="54"/>
      <c r="M31" s="41"/>
    </row>
    <row r="32" spans="1:13" ht="15.45" x14ac:dyDescent="0.4">
      <c r="A32" s="9">
        <v>26</v>
      </c>
      <c r="B32" s="19"/>
      <c r="C32" s="19">
        <v>2135</v>
      </c>
      <c r="D32" s="8"/>
      <c r="E32" s="17" t="s">
        <v>33</v>
      </c>
      <c r="F32" s="42">
        <v>100</v>
      </c>
      <c r="G32" s="8"/>
      <c r="H32" s="19"/>
      <c r="I32" s="42">
        <v>200</v>
      </c>
      <c r="J32" s="8"/>
      <c r="K32" s="42">
        <v>800</v>
      </c>
      <c r="L32" s="54"/>
      <c r="M32" s="43">
        <v>1000</v>
      </c>
    </row>
    <row r="33" spans="1:13" ht="15.45" x14ac:dyDescent="0.4">
      <c r="A33" s="9"/>
      <c r="B33" s="19"/>
      <c r="C33" s="19"/>
      <c r="D33" s="8"/>
      <c r="E33" s="17"/>
      <c r="F33" s="21"/>
      <c r="G33" s="8"/>
      <c r="H33" s="19"/>
      <c r="I33" s="54"/>
      <c r="J33" s="8"/>
      <c r="K33" s="19"/>
      <c r="L33" s="19"/>
    </row>
    <row r="34" spans="1:13" ht="15.45" x14ac:dyDescent="0.4">
      <c r="A34" s="9"/>
      <c r="B34" s="19"/>
      <c r="C34" s="19"/>
      <c r="D34" s="8"/>
      <c r="E34" s="17"/>
      <c r="F34" s="21"/>
      <c r="G34" s="8"/>
      <c r="H34" s="19"/>
      <c r="I34" s="21">
        <f>SUM(I9:I32)</f>
        <v>2210</v>
      </c>
      <c r="J34" s="8"/>
      <c r="K34" s="62">
        <f>SUM(K8:K32)</f>
        <v>1790</v>
      </c>
      <c r="L34" s="62"/>
      <c r="M34" s="10">
        <f>SUM(I34:K34)</f>
        <v>4000</v>
      </c>
    </row>
    <row r="35" spans="1:13" ht="15.45" x14ac:dyDescent="0.4">
      <c r="A35" s="9"/>
      <c r="B35" s="19"/>
      <c r="C35" s="17" t="s">
        <v>84</v>
      </c>
      <c r="D35" s="21"/>
      <c r="E35" s="17"/>
      <c r="F35" s="42">
        <f>SUM(F8:F32)</f>
        <v>6710</v>
      </c>
      <c r="G35" s="8"/>
      <c r="H35" s="19"/>
      <c r="I35" s="54"/>
      <c r="J35" s="8"/>
      <c r="K35" s="19"/>
      <c r="L35" s="19"/>
    </row>
    <row r="36" spans="1:13" ht="15.45" x14ac:dyDescent="0.4">
      <c r="A36" s="9"/>
      <c r="B36" s="19"/>
      <c r="C36" s="17"/>
      <c r="D36" s="21"/>
      <c r="E36" s="17"/>
      <c r="F36" s="21"/>
      <c r="G36" s="8"/>
      <c r="H36" s="19"/>
      <c r="I36" s="54"/>
      <c r="J36" s="8"/>
      <c r="K36" s="19"/>
      <c r="L36" s="19"/>
    </row>
    <row r="37" spans="1:13" ht="15.45" x14ac:dyDescent="0.4">
      <c r="A37" s="9"/>
      <c r="B37" s="19"/>
      <c r="C37" s="17"/>
      <c r="D37" s="21"/>
      <c r="E37" s="17" t="s">
        <v>90</v>
      </c>
      <c r="F37" s="21">
        <v>2210</v>
      </c>
      <c r="G37" s="8"/>
      <c r="H37" s="19"/>
      <c r="I37" s="54"/>
      <c r="J37" s="8"/>
      <c r="K37" s="19"/>
      <c r="L37" s="19"/>
    </row>
    <row r="38" spans="1:13" ht="15.45" x14ac:dyDescent="0.4">
      <c r="A38" s="9"/>
      <c r="B38" s="19"/>
      <c r="C38" s="17"/>
      <c r="D38" s="21"/>
      <c r="E38" s="17" t="s">
        <v>46</v>
      </c>
      <c r="F38" s="21">
        <v>4500</v>
      </c>
      <c r="G38" s="8"/>
      <c r="H38" s="19"/>
      <c r="I38" s="54"/>
      <c r="J38" s="8"/>
      <c r="K38" s="19"/>
      <c r="L38" s="19"/>
    </row>
    <row r="39" spans="1:13" ht="15.45" x14ac:dyDescent="0.4">
      <c r="A39" s="9"/>
      <c r="B39" s="19"/>
      <c r="C39" s="17"/>
      <c r="D39" s="21"/>
      <c r="E39" s="17" t="s">
        <v>91</v>
      </c>
      <c r="F39" s="42">
        <v>0</v>
      </c>
      <c r="G39" s="8"/>
      <c r="H39" s="19"/>
      <c r="I39" s="54"/>
      <c r="J39" s="8"/>
      <c r="K39" s="19"/>
      <c r="L39" s="19"/>
    </row>
    <row r="40" spans="1:13" ht="15.45" x14ac:dyDescent="0.4">
      <c r="A40" s="9"/>
      <c r="B40" s="19"/>
      <c r="C40" s="17"/>
      <c r="D40" s="21"/>
      <c r="E40" s="17"/>
      <c r="F40" s="21">
        <f>SUM(F37:F38)</f>
        <v>6710</v>
      </c>
      <c r="G40" s="8"/>
      <c r="H40" s="19"/>
      <c r="I40" s="54"/>
      <c r="J40" s="8"/>
      <c r="K40" s="19"/>
      <c r="L40" s="19"/>
    </row>
    <row r="41" spans="1:13" ht="15.45" x14ac:dyDescent="0.4">
      <c r="A41" s="9"/>
      <c r="B41" s="19"/>
      <c r="C41" s="17"/>
      <c r="D41" s="21"/>
      <c r="E41" s="17"/>
      <c r="F41" s="21"/>
      <c r="G41" s="8"/>
      <c r="H41" s="19"/>
      <c r="I41" s="54"/>
      <c r="J41" s="8"/>
      <c r="K41" s="19"/>
      <c r="L41" s="19"/>
    </row>
    <row r="42" spans="1:13" ht="15.45" x14ac:dyDescent="0.4">
      <c r="A42" s="8"/>
      <c r="B42" s="8"/>
      <c r="C42" s="8" t="s">
        <v>82</v>
      </c>
      <c r="D42" s="8"/>
      <c r="E42" s="8"/>
      <c r="F42" s="8"/>
      <c r="G42" s="8"/>
      <c r="H42" s="8"/>
      <c r="I42" s="8"/>
      <c r="J42" s="8"/>
      <c r="K42" s="8"/>
      <c r="L42" s="8"/>
    </row>
    <row r="43" spans="1:13" ht="15.45" x14ac:dyDescent="0.4">
      <c r="A43" s="8"/>
      <c r="B43" s="8"/>
      <c r="C43" s="8"/>
      <c r="D43" s="8"/>
      <c r="E43" s="22"/>
      <c r="F43" s="8"/>
      <c r="G43" s="8"/>
      <c r="H43" s="8"/>
      <c r="I43" s="8"/>
      <c r="J43" s="8"/>
      <c r="K43" s="8"/>
      <c r="L43" s="8"/>
    </row>
    <row r="44" spans="1:13" ht="15.45" x14ac:dyDescent="0.4">
      <c r="A44" s="8"/>
      <c r="B44" s="8"/>
      <c r="C44" s="8"/>
      <c r="D44" s="8"/>
      <c r="E44" s="19"/>
      <c r="F44" s="8"/>
      <c r="G44" s="8"/>
      <c r="H44" s="8"/>
      <c r="I44" s="8"/>
      <c r="J44" s="8"/>
      <c r="K44" s="8"/>
      <c r="L44" s="8"/>
    </row>
    <row r="45" spans="1:13" ht="15.45" x14ac:dyDescent="0.4">
      <c r="A45" s="22" t="s">
        <v>51</v>
      </c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</row>
    <row r="46" spans="1:13" ht="15.45" x14ac:dyDescent="0.4">
      <c r="A46" s="8" t="s">
        <v>59</v>
      </c>
      <c r="B46" s="8"/>
      <c r="C46" s="9" t="s">
        <v>21</v>
      </c>
      <c r="D46" s="8"/>
      <c r="E46" s="8"/>
      <c r="F46" s="10">
        <v>1000</v>
      </c>
      <c r="G46" s="8"/>
      <c r="H46" s="8"/>
      <c r="I46" s="8"/>
      <c r="J46" s="8"/>
      <c r="K46" s="8"/>
      <c r="L46" s="8"/>
      <c r="M46" s="8"/>
    </row>
    <row r="47" spans="1:13" ht="15.45" x14ac:dyDescent="0.4">
      <c r="A47" s="8"/>
      <c r="B47" s="8"/>
      <c r="C47" s="9" t="s">
        <v>70</v>
      </c>
      <c r="D47" s="8"/>
      <c r="E47" s="8"/>
      <c r="F47" s="10">
        <v>1000</v>
      </c>
      <c r="G47" s="8"/>
      <c r="H47" s="8"/>
      <c r="I47" s="8"/>
      <c r="J47" s="8"/>
      <c r="K47" s="8"/>
      <c r="L47" s="8"/>
      <c r="M47" s="8"/>
    </row>
    <row r="48" spans="1:13" ht="15.45" x14ac:dyDescent="0.4">
      <c r="A48" s="8"/>
      <c r="B48" s="8"/>
      <c r="C48" s="19">
        <v>19</v>
      </c>
      <c r="D48" s="8"/>
      <c r="E48" s="8"/>
      <c r="F48" s="10">
        <v>1000</v>
      </c>
      <c r="G48" s="8"/>
      <c r="H48" s="8"/>
      <c r="I48" s="8"/>
      <c r="J48" s="8"/>
      <c r="K48" s="15"/>
      <c r="L48" s="15"/>
      <c r="M48" s="8"/>
    </row>
    <row r="49" spans="1:13" ht="15.45" x14ac:dyDescent="0.4">
      <c r="A49" s="8"/>
      <c r="B49" s="8"/>
      <c r="C49" s="19">
        <v>26</v>
      </c>
      <c r="D49" s="8"/>
      <c r="E49" s="8"/>
      <c r="F49" s="10">
        <v>1000</v>
      </c>
      <c r="G49" s="8"/>
      <c r="H49" s="8"/>
      <c r="I49" s="8"/>
      <c r="J49" s="8"/>
      <c r="K49" s="13"/>
      <c r="L49" s="13"/>
      <c r="M49" s="8"/>
    </row>
    <row r="50" spans="1:13" ht="15.9" thickBot="1" x14ac:dyDescent="0.45">
      <c r="A50" s="8"/>
      <c r="B50" s="8"/>
      <c r="C50" s="19"/>
      <c r="D50" s="8"/>
      <c r="E50" s="8" t="s">
        <v>83</v>
      </c>
      <c r="F50" s="8"/>
      <c r="G50" s="8"/>
      <c r="H50" s="8"/>
      <c r="I50" s="47">
        <v>4000</v>
      </c>
    </row>
    <row r="51" spans="1:13" ht="15" thickTop="1" x14ac:dyDescent="0.4"/>
  </sheetData>
  <pageMargins left="0.45" right="0.45" top="0.5" bottom="0.25" header="0.3" footer="0.3"/>
  <pageSetup paperSize="9" orientation="portrait" horizontalDpi="4294967293" verticalDpi="0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46"/>
  <sheetViews>
    <sheetView workbookViewId="0">
      <selection activeCell="I5" sqref="I5:M6"/>
    </sheetView>
  </sheetViews>
  <sheetFormatPr defaultRowHeight="14.6" x14ac:dyDescent="0.4"/>
  <cols>
    <col min="2" max="2" width="0.84375" customWidth="1"/>
    <col min="4" max="4" width="0.84375" customWidth="1"/>
    <col min="5" max="5" width="18.69140625" customWidth="1"/>
    <col min="6" max="6" width="11.07421875" customWidth="1"/>
    <col min="7" max="7" width="1" customWidth="1"/>
    <col min="9" max="9" width="10.53515625" bestFit="1" customWidth="1"/>
    <col min="10" max="10" width="1.07421875" customWidth="1"/>
    <col min="11" max="11" width="10.69140625" customWidth="1"/>
    <col min="12" max="12" width="0.84375" customWidth="1"/>
    <col min="13" max="13" width="10.3046875" bestFit="1" customWidth="1"/>
  </cols>
  <sheetData>
    <row r="1" spans="1:13" ht="15.45" x14ac:dyDescent="0.4">
      <c r="A1" s="8"/>
      <c r="B1" s="8"/>
      <c r="C1" s="8"/>
      <c r="D1" s="8" t="s">
        <v>0</v>
      </c>
      <c r="E1" s="8"/>
      <c r="F1" s="8"/>
      <c r="G1" s="8"/>
      <c r="H1" s="8"/>
      <c r="I1" s="8"/>
      <c r="J1" s="8"/>
      <c r="K1" s="8"/>
    </row>
    <row r="2" spans="1:13" ht="15.45" x14ac:dyDescent="0.4">
      <c r="A2" s="8"/>
      <c r="B2" s="8"/>
      <c r="C2" s="8"/>
      <c r="D2" s="8" t="s">
        <v>18</v>
      </c>
      <c r="E2" s="8" t="s">
        <v>40</v>
      </c>
      <c r="F2" s="8"/>
      <c r="G2" s="8"/>
      <c r="H2" s="8"/>
      <c r="I2" s="8"/>
      <c r="J2" s="8"/>
      <c r="K2" s="8"/>
    </row>
    <row r="3" spans="1:13" ht="15.45" x14ac:dyDescent="0.4">
      <c r="A3" s="8"/>
      <c r="B3" s="8"/>
      <c r="C3" s="8"/>
      <c r="D3" s="18"/>
      <c r="E3" s="13" t="s">
        <v>95</v>
      </c>
      <c r="F3" s="8"/>
      <c r="G3" s="8"/>
      <c r="H3" s="8"/>
      <c r="I3" s="8"/>
      <c r="J3" s="8"/>
      <c r="K3" s="8"/>
    </row>
    <row r="4" spans="1:13" ht="15.45" x14ac:dyDescent="0.4">
      <c r="A4" s="8"/>
      <c r="B4" s="8"/>
      <c r="C4" s="8"/>
      <c r="D4" s="8"/>
      <c r="E4" s="8"/>
      <c r="F4" s="8"/>
      <c r="G4" s="8"/>
      <c r="H4" s="8"/>
      <c r="I4" s="8"/>
      <c r="J4" s="8"/>
      <c r="K4" s="8"/>
    </row>
    <row r="5" spans="1:13" ht="15.45" x14ac:dyDescent="0.4">
      <c r="A5" s="8"/>
      <c r="B5" s="8"/>
      <c r="C5" s="8"/>
      <c r="D5" s="8"/>
      <c r="E5" s="8"/>
      <c r="F5" s="19" t="s">
        <v>12</v>
      </c>
      <c r="G5" s="8"/>
      <c r="H5" s="8"/>
      <c r="I5" s="19" t="s">
        <v>80</v>
      </c>
      <c r="J5" s="8"/>
      <c r="K5" s="8" t="s">
        <v>63</v>
      </c>
      <c r="L5" s="8"/>
      <c r="M5" s="50" t="s">
        <v>65</v>
      </c>
    </row>
    <row r="6" spans="1:13" ht="15.45" x14ac:dyDescent="0.4">
      <c r="A6" s="20" t="s">
        <v>5</v>
      </c>
      <c r="B6" s="19"/>
      <c r="C6" s="20" t="s">
        <v>6</v>
      </c>
      <c r="D6" s="8"/>
      <c r="E6" s="20" t="s">
        <v>1</v>
      </c>
      <c r="F6" s="20" t="s">
        <v>3</v>
      </c>
      <c r="G6" s="8"/>
      <c r="H6" s="20" t="s">
        <v>4</v>
      </c>
      <c r="I6" s="20" t="s">
        <v>81</v>
      </c>
      <c r="J6" s="8"/>
      <c r="K6" s="53" t="s">
        <v>64</v>
      </c>
      <c r="L6" s="53"/>
      <c r="M6" s="63" t="s">
        <v>2</v>
      </c>
    </row>
    <row r="7" spans="1:13" ht="15.45" x14ac:dyDescent="0.4">
      <c r="A7" s="9"/>
      <c r="B7" s="19"/>
      <c r="C7" s="19"/>
      <c r="D7" s="8"/>
      <c r="E7" s="17"/>
      <c r="F7" s="21"/>
      <c r="G7" s="8"/>
      <c r="H7" s="19"/>
      <c r="I7" s="21"/>
      <c r="J7" s="8"/>
      <c r="K7" s="19"/>
    </row>
    <row r="8" spans="1:13" ht="15.45" x14ac:dyDescent="0.4">
      <c r="A8" s="9" t="s">
        <v>7</v>
      </c>
      <c r="B8" s="19"/>
      <c r="C8" s="19">
        <v>2136</v>
      </c>
      <c r="D8" s="8"/>
      <c r="E8" s="17" t="s">
        <v>8</v>
      </c>
      <c r="F8" s="21">
        <v>50</v>
      </c>
      <c r="G8" s="8"/>
      <c r="H8" s="25"/>
      <c r="I8" s="21"/>
      <c r="J8" s="8"/>
      <c r="K8" s="19"/>
    </row>
    <row r="9" spans="1:13" ht="15.45" x14ac:dyDescent="0.4">
      <c r="A9" s="9" t="s">
        <v>7</v>
      </c>
      <c r="B9" s="19"/>
      <c r="C9" s="19">
        <v>2137</v>
      </c>
      <c r="D9" s="11"/>
      <c r="E9" s="12" t="s">
        <v>44</v>
      </c>
      <c r="F9" s="21">
        <v>90</v>
      </c>
      <c r="G9" s="8"/>
      <c r="H9" s="21">
        <v>90</v>
      </c>
      <c r="I9" s="21"/>
      <c r="J9" s="8"/>
      <c r="K9" s="19"/>
    </row>
    <row r="10" spans="1:13" ht="15.45" x14ac:dyDescent="0.4">
      <c r="A10" s="9" t="s">
        <v>7</v>
      </c>
      <c r="B10" s="19"/>
      <c r="C10" s="19">
        <v>2138</v>
      </c>
      <c r="D10" s="11"/>
      <c r="E10" s="12" t="s">
        <v>96</v>
      </c>
      <c r="F10" s="21">
        <v>50</v>
      </c>
      <c r="G10" s="8"/>
      <c r="H10" s="19"/>
      <c r="I10" s="21"/>
      <c r="J10" s="8"/>
      <c r="K10" s="19"/>
    </row>
    <row r="11" spans="1:13" ht="15.45" x14ac:dyDescent="0.4">
      <c r="A11" s="9" t="s">
        <v>7</v>
      </c>
      <c r="B11" s="19"/>
      <c r="C11" s="19">
        <v>2139</v>
      </c>
      <c r="D11" s="13"/>
      <c r="E11" s="17" t="s">
        <v>97</v>
      </c>
      <c r="F11" s="21">
        <v>300</v>
      </c>
      <c r="G11" s="8"/>
      <c r="H11" s="19"/>
      <c r="I11" s="21"/>
      <c r="J11" s="8"/>
      <c r="K11" s="19"/>
    </row>
    <row r="12" spans="1:13" ht="15.45" x14ac:dyDescent="0.4">
      <c r="A12" s="9">
        <v>10</v>
      </c>
      <c r="B12" s="19"/>
      <c r="C12" s="19">
        <v>2140</v>
      </c>
      <c r="D12" s="8"/>
      <c r="E12" s="17" t="s">
        <v>98</v>
      </c>
      <c r="F12" s="42">
        <v>100</v>
      </c>
      <c r="G12" s="8"/>
      <c r="H12" s="19"/>
      <c r="I12" s="21">
        <v>500</v>
      </c>
      <c r="J12" s="8"/>
      <c r="K12" s="21">
        <v>500</v>
      </c>
      <c r="L12" s="8"/>
      <c r="M12" s="10">
        <v>1000</v>
      </c>
    </row>
    <row r="13" spans="1:13" ht="15.45" x14ac:dyDescent="0.4">
      <c r="A13" s="9">
        <v>10</v>
      </c>
      <c r="B13" s="19"/>
      <c r="C13" s="19">
        <v>2141</v>
      </c>
      <c r="D13" s="8"/>
      <c r="E13" s="17" t="s">
        <v>8</v>
      </c>
      <c r="F13" s="21">
        <v>100</v>
      </c>
      <c r="G13" s="8"/>
      <c r="H13" s="19"/>
      <c r="I13" s="21"/>
      <c r="J13" s="8"/>
      <c r="K13" s="19"/>
      <c r="L13" s="8"/>
      <c r="M13" s="8"/>
    </row>
    <row r="14" spans="1:13" ht="15.45" x14ac:dyDescent="0.4">
      <c r="A14" s="9">
        <v>10</v>
      </c>
      <c r="B14" s="19"/>
      <c r="C14" s="19">
        <v>2142</v>
      </c>
      <c r="D14" s="8"/>
      <c r="E14" s="17" t="s">
        <v>74</v>
      </c>
      <c r="F14" s="21">
        <v>100</v>
      </c>
      <c r="G14" s="8"/>
      <c r="H14" s="19"/>
      <c r="I14" s="21"/>
      <c r="J14" s="8"/>
      <c r="K14" s="19"/>
      <c r="L14" s="8"/>
      <c r="M14" s="8"/>
    </row>
    <row r="15" spans="1:13" ht="15.45" x14ac:dyDescent="0.4">
      <c r="A15" s="9">
        <v>10</v>
      </c>
      <c r="B15" s="19"/>
      <c r="C15" s="19">
        <v>2143</v>
      </c>
      <c r="D15" s="8"/>
      <c r="E15" s="17" t="s">
        <v>85</v>
      </c>
      <c r="F15" s="21">
        <v>100</v>
      </c>
      <c r="G15" s="8"/>
      <c r="H15" s="19"/>
      <c r="I15" s="21"/>
      <c r="J15" s="8"/>
      <c r="K15" s="19"/>
      <c r="L15" s="8"/>
      <c r="M15" s="8"/>
    </row>
    <row r="16" spans="1:13" ht="15.45" x14ac:dyDescent="0.4">
      <c r="A16" s="9">
        <v>10</v>
      </c>
      <c r="B16" s="9"/>
      <c r="C16" s="19">
        <v>2145</v>
      </c>
      <c r="D16" s="8"/>
      <c r="E16" s="17" t="s">
        <v>22</v>
      </c>
      <c r="F16" s="21">
        <v>100</v>
      </c>
      <c r="G16" s="8"/>
      <c r="H16" s="19"/>
      <c r="I16" s="21"/>
      <c r="J16" s="8"/>
      <c r="K16" s="19"/>
      <c r="L16" s="8"/>
      <c r="M16" s="8"/>
    </row>
    <row r="17" spans="1:13" ht="15.45" x14ac:dyDescent="0.4">
      <c r="A17" s="9"/>
      <c r="B17" s="9"/>
      <c r="C17" s="19"/>
      <c r="D17" s="8"/>
      <c r="E17" s="17"/>
      <c r="F17" s="54">
        <v>100</v>
      </c>
      <c r="G17" s="8"/>
      <c r="H17" s="19"/>
      <c r="I17" s="21"/>
      <c r="J17" s="8"/>
      <c r="K17" s="19"/>
      <c r="L17" s="8"/>
      <c r="M17" s="8"/>
    </row>
    <row r="18" spans="1:13" ht="15.45" x14ac:dyDescent="0.4">
      <c r="A18" s="9">
        <v>10</v>
      </c>
      <c r="B18" s="9"/>
      <c r="C18" s="19">
        <v>2146</v>
      </c>
      <c r="D18" s="8"/>
      <c r="E18" s="17" t="s">
        <v>31</v>
      </c>
      <c r="F18" s="42">
        <v>500</v>
      </c>
      <c r="G18" s="8"/>
      <c r="H18" s="19"/>
      <c r="I18" s="21">
        <v>1000</v>
      </c>
      <c r="J18" s="8"/>
      <c r="K18" s="19"/>
      <c r="L18" s="8"/>
      <c r="M18" s="21">
        <v>1000</v>
      </c>
    </row>
    <row r="19" spans="1:13" ht="15.45" x14ac:dyDescent="0.4">
      <c r="A19" s="9">
        <v>17</v>
      </c>
      <c r="B19" s="9"/>
      <c r="C19" s="19">
        <v>2144</v>
      </c>
      <c r="D19" s="8"/>
      <c r="E19" s="17" t="s">
        <v>99</v>
      </c>
      <c r="F19" s="54">
        <v>100</v>
      </c>
      <c r="G19" s="8"/>
      <c r="H19" s="19"/>
      <c r="I19" s="21"/>
      <c r="J19" s="8"/>
      <c r="K19" s="19"/>
      <c r="L19" s="8"/>
      <c r="M19" s="8"/>
    </row>
    <row r="20" spans="1:13" ht="15.45" x14ac:dyDescent="0.4">
      <c r="A20" s="9">
        <v>17</v>
      </c>
      <c r="B20" s="9"/>
      <c r="C20" s="19">
        <v>2147</v>
      </c>
      <c r="D20" s="8"/>
      <c r="E20" s="17" t="s">
        <v>41</v>
      </c>
      <c r="F20" s="54">
        <v>100</v>
      </c>
      <c r="G20" s="8"/>
      <c r="H20" s="19"/>
      <c r="I20" s="21"/>
      <c r="J20" s="8"/>
      <c r="K20" s="19"/>
      <c r="L20" s="8"/>
      <c r="M20" s="8"/>
    </row>
    <row r="21" spans="1:13" ht="15.45" x14ac:dyDescent="0.4">
      <c r="A21" s="9">
        <v>17</v>
      </c>
      <c r="B21" s="9"/>
      <c r="C21" s="19">
        <v>2148</v>
      </c>
      <c r="D21" s="8"/>
      <c r="E21" s="17" t="s">
        <v>44</v>
      </c>
      <c r="F21" s="21">
        <v>100</v>
      </c>
      <c r="G21" s="8"/>
      <c r="H21" s="19"/>
      <c r="I21" s="54"/>
      <c r="J21" s="8"/>
      <c r="K21" s="19"/>
      <c r="L21" s="8"/>
      <c r="M21" s="8"/>
    </row>
    <row r="22" spans="1:13" ht="15.45" x14ac:dyDescent="0.4">
      <c r="A22" s="9">
        <v>17</v>
      </c>
      <c r="B22" s="9"/>
      <c r="C22" s="19">
        <v>2149</v>
      </c>
      <c r="D22" s="8"/>
      <c r="E22" s="17" t="s">
        <v>100</v>
      </c>
      <c r="F22" s="54">
        <v>100</v>
      </c>
      <c r="G22" s="8"/>
      <c r="H22" s="19"/>
      <c r="I22" s="54"/>
      <c r="J22" s="8"/>
      <c r="K22" s="19"/>
      <c r="L22" s="8"/>
      <c r="M22" s="8"/>
    </row>
    <row r="23" spans="1:13" ht="15.45" x14ac:dyDescent="0.4">
      <c r="A23" s="9">
        <v>17</v>
      </c>
      <c r="B23" s="8"/>
      <c r="C23" s="19">
        <v>2150</v>
      </c>
      <c r="D23" s="8"/>
      <c r="E23" s="8" t="s">
        <v>61</v>
      </c>
      <c r="F23" s="43">
        <v>100</v>
      </c>
      <c r="G23" s="41"/>
      <c r="H23" s="40"/>
      <c r="I23" s="40">
        <v>500</v>
      </c>
      <c r="J23" s="11"/>
      <c r="K23" s="14">
        <v>500</v>
      </c>
      <c r="L23" s="8"/>
      <c r="M23" s="10">
        <v>1000</v>
      </c>
    </row>
    <row r="24" spans="1:13" ht="15.45" x14ac:dyDescent="0.4">
      <c r="A24" s="9">
        <v>24</v>
      </c>
      <c r="B24" s="8"/>
      <c r="C24" s="19">
        <v>2151</v>
      </c>
      <c r="D24" s="8"/>
      <c r="E24" s="8" t="s">
        <v>33</v>
      </c>
      <c r="F24" s="41">
        <v>100</v>
      </c>
      <c r="G24" s="41"/>
      <c r="H24" s="40"/>
      <c r="I24" s="40"/>
      <c r="J24" s="11"/>
      <c r="K24" s="12"/>
      <c r="L24" s="8"/>
      <c r="M24" s="8"/>
    </row>
    <row r="25" spans="1:13" ht="15.45" x14ac:dyDescent="0.4">
      <c r="A25" s="9">
        <v>24</v>
      </c>
      <c r="B25" s="8"/>
      <c r="C25" s="19">
        <v>2152</v>
      </c>
      <c r="D25" s="8"/>
      <c r="E25" s="8" t="s">
        <v>85</v>
      </c>
      <c r="F25" s="41">
        <v>100</v>
      </c>
      <c r="G25" s="41"/>
      <c r="H25" s="40"/>
      <c r="I25" s="40"/>
      <c r="J25" s="11"/>
      <c r="K25" s="12"/>
      <c r="L25" s="8"/>
      <c r="M25" s="8"/>
    </row>
    <row r="26" spans="1:13" ht="15.45" x14ac:dyDescent="0.4">
      <c r="A26" s="9">
        <v>24</v>
      </c>
      <c r="B26" s="8"/>
      <c r="C26" s="19">
        <v>2153</v>
      </c>
      <c r="D26" s="8"/>
      <c r="E26" s="8" t="s">
        <v>41</v>
      </c>
      <c r="F26" s="41">
        <v>100</v>
      </c>
      <c r="G26" s="41"/>
      <c r="H26" s="40"/>
      <c r="I26" s="40"/>
      <c r="J26" s="11"/>
      <c r="K26" s="12"/>
      <c r="L26" s="8"/>
      <c r="M26" s="8"/>
    </row>
    <row r="27" spans="1:13" ht="15.45" x14ac:dyDescent="0.4">
      <c r="A27" s="9">
        <v>24</v>
      </c>
      <c r="B27" s="8"/>
      <c r="C27" s="19">
        <v>2154</v>
      </c>
      <c r="D27" s="8"/>
      <c r="E27" s="8" t="s">
        <v>101</v>
      </c>
      <c r="F27" s="41">
        <v>50</v>
      </c>
      <c r="G27" s="41"/>
      <c r="H27" s="40"/>
      <c r="I27" s="40"/>
      <c r="J27" s="11"/>
      <c r="K27" s="12"/>
      <c r="L27" s="8"/>
      <c r="M27" s="8"/>
    </row>
    <row r="28" spans="1:13" ht="15.45" x14ac:dyDescent="0.4">
      <c r="A28" s="9">
        <v>24</v>
      </c>
      <c r="B28" s="8"/>
      <c r="C28" s="19">
        <v>2155</v>
      </c>
      <c r="D28" s="8"/>
      <c r="E28" s="8" t="s">
        <v>102</v>
      </c>
      <c r="F28" s="43">
        <v>500</v>
      </c>
      <c r="G28" s="41"/>
      <c r="H28" s="40"/>
      <c r="I28" s="40">
        <v>850</v>
      </c>
      <c r="J28" s="11"/>
      <c r="K28" s="14">
        <v>150</v>
      </c>
      <c r="L28" s="8"/>
      <c r="M28" s="10">
        <v>1000</v>
      </c>
    </row>
    <row r="29" spans="1:13" ht="15.45" x14ac:dyDescent="0.4">
      <c r="A29" s="9">
        <v>31</v>
      </c>
      <c r="B29" s="8"/>
      <c r="C29" s="19">
        <v>2156</v>
      </c>
      <c r="D29" s="8"/>
      <c r="E29" s="8" t="s">
        <v>33</v>
      </c>
      <c r="F29" s="41">
        <v>500</v>
      </c>
      <c r="G29" s="41"/>
      <c r="H29" s="40"/>
      <c r="I29" s="40"/>
      <c r="J29" s="11"/>
      <c r="K29" s="12"/>
      <c r="L29" s="8"/>
      <c r="M29" s="8"/>
    </row>
    <row r="30" spans="1:13" ht="15.45" x14ac:dyDescent="0.4">
      <c r="A30" s="9">
        <v>31</v>
      </c>
      <c r="B30" s="8"/>
      <c r="C30" s="19">
        <v>2157</v>
      </c>
      <c r="D30" s="8"/>
      <c r="E30" s="8" t="s">
        <v>41</v>
      </c>
      <c r="F30" s="41">
        <v>100</v>
      </c>
      <c r="G30" s="41"/>
      <c r="H30" s="40"/>
      <c r="I30" s="40"/>
      <c r="J30" s="11"/>
      <c r="K30" s="12"/>
      <c r="L30" s="8"/>
      <c r="M30" s="8"/>
    </row>
    <row r="31" spans="1:13" ht="15.45" x14ac:dyDescent="0.4">
      <c r="A31" s="9"/>
      <c r="B31" s="8"/>
      <c r="C31" s="19"/>
      <c r="D31" s="8"/>
      <c r="E31" s="8"/>
      <c r="F31" s="41">
        <v>200</v>
      </c>
      <c r="G31" s="41"/>
      <c r="H31" s="40"/>
      <c r="I31" s="40"/>
      <c r="J31" s="11"/>
      <c r="K31" s="12"/>
      <c r="L31" s="8"/>
      <c r="M31" s="8"/>
    </row>
    <row r="32" spans="1:13" ht="15.45" x14ac:dyDescent="0.4">
      <c r="A32" s="9"/>
      <c r="B32" s="8"/>
      <c r="C32" s="19"/>
      <c r="D32" s="8"/>
      <c r="E32" s="8"/>
      <c r="F32" s="41">
        <v>100</v>
      </c>
      <c r="G32" s="41"/>
      <c r="H32" s="40"/>
      <c r="I32" s="40"/>
      <c r="J32" s="11"/>
      <c r="K32" s="12"/>
      <c r="L32" s="8"/>
      <c r="M32" s="8"/>
    </row>
    <row r="33" spans="1:13" ht="15.45" x14ac:dyDescent="0.4">
      <c r="A33" s="8"/>
      <c r="B33" s="8"/>
      <c r="C33" s="8"/>
      <c r="D33" s="8"/>
      <c r="E33" s="8"/>
      <c r="F33" s="8"/>
      <c r="G33" s="8"/>
      <c r="H33" s="8"/>
      <c r="I33" s="43">
        <v>900</v>
      </c>
      <c r="J33" s="8"/>
      <c r="K33" s="43">
        <v>100</v>
      </c>
      <c r="L33" s="8"/>
      <c r="M33" s="43">
        <v>1000</v>
      </c>
    </row>
    <row r="34" spans="1:13" ht="15.45" x14ac:dyDescent="0.4">
      <c r="A34" s="8"/>
      <c r="B34" s="8"/>
      <c r="C34" s="8"/>
      <c r="D34" s="8"/>
      <c r="E34" s="8"/>
      <c r="F34" s="8"/>
      <c r="G34" s="8"/>
      <c r="H34" s="8"/>
      <c r="I34" s="10">
        <f>SUM(I7:I33)</f>
        <v>3750</v>
      </c>
      <c r="J34" s="8"/>
      <c r="K34" s="10">
        <f>SUM(K8:K33)</f>
        <v>1250</v>
      </c>
      <c r="L34" s="8"/>
      <c r="M34" s="15">
        <f>SUM(M10:M33)</f>
        <v>5000</v>
      </c>
    </row>
    <row r="35" spans="1:13" ht="15.45" x14ac:dyDescent="0.4">
      <c r="A35" s="8"/>
      <c r="B35" s="8"/>
      <c r="C35" s="8" t="s">
        <v>13</v>
      </c>
      <c r="D35" s="8"/>
      <c r="E35" s="8"/>
      <c r="F35" s="8"/>
      <c r="G35" s="8"/>
      <c r="H35" s="8"/>
      <c r="I35" s="10"/>
      <c r="J35" s="8"/>
      <c r="K35" s="8"/>
      <c r="L35" s="8"/>
      <c r="M35" s="8"/>
    </row>
    <row r="36" spans="1:13" ht="15.45" x14ac:dyDescent="0.4">
      <c r="A36" s="8"/>
      <c r="B36" s="8"/>
      <c r="C36" s="8"/>
      <c r="D36" s="8"/>
      <c r="E36" s="22"/>
      <c r="F36" s="8"/>
      <c r="G36" s="8"/>
      <c r="H36" s="8"/>
      <c r="I36" s="8"/>
      <c r="J36" s="8"/>
      <c r="K36" s="8"/>
      <c r="L36" s="8"/>
      <c r="M36" s="8"/>
    </row>
    <row r="37" spans="1:13" ht="15.45" x14ac:dyDescent="0.4">
      <c r="A37" s="8"/>
      <c r="B37" s="8"/>
      <c r="C37" s="8"/>
      <c r="D37" s="8"/>
      <c r="E37" s="19" t="s">
        <v>15</v>
      </c>
      <c r="F37" s="8"/>
      <c r="G37" s="8"/>
      <c r="H37" s="8"/>
      <c r="I37" s="8"/>
      <c r="J37" s="8"/>
      <c r="K37" s="8"/>
      <c r="L37" s="8"/>
      <c r="M37" s="8"/>
    </row>
    <row r="39" spans="1:13" ht="15.45" x14ac:dyDescent="0.4">
      <c r="A39" s="23" t="s">
        <v>103</v>
      </c>
      <c r="B39" s="8"/>
      <c r="C39" s="8"/>
      <c r="D39" s="8"/>
      <c r="E39" s="8"/>
      <c r="F39" s="8"/>
      <c r="G39" s="8"/>
      <c r="H39" s="19"/>
      <c r="I39" s="19"/>
      <c r="J39" s="8"/>
      <c r="K39" s="19"/>
    </row>
    <row r="40" spans="1:13" ht="15.45" x14ac:dyDescent="0.4">
      <c r="A40" s="22" t="s">
        <v>51</v>
      </c>
      <c r="B40" s="8"/>
      <c r="C40" s="8"/>
      <c r="D40" s="8"/>
      <c r="E40" s="8"/>
      <c r="F40" s="8"/>
      <c r="G40" s="8"/>
      <c r="H40" s="8"/>
      <c r="I40" s="20" t="s">
        <v>2</v>
      </c>
      <c r="J40" s="8"/>
      <c r="K40" s="8"/>
    </row>
    <row r="41" spans="1:13" ht="15.45" x14ac:dyDescent="0.4">
      <c r="A41" s="8" t="s">
        <v>60</v>
      </c>
      <c r="B41" s="8"/>
      <c r="C41" s="9" t="s">
        <v>7</v>
      </c>
      <c r="D41" s="8"/>
      <c r="E41" s="8"/>
      <c r="F41" s="8"/>
      <c r="G41" s="8"/>
      <c r="H41" s="8"/>
      <c r="I41" s="8"/>
      <c r="J41" s="8"/>
      <c r="K41" s="8"/>
    </row>
    <row r="42" spans="1:13" ht="15.45" x14ac:dyDescent="0.4">
      <c r="A42" s="8"/>
      <c r="B42" s="8"/>
      <c r="C42" s="9" t="s">
        <v>68</v>
      </c>
      <c r="D42" s="8"/>
      <c r="E42" s="8"/>
      <c r="F42" s="8"/>
      <c r="G42" s="8"/>
      <c r="H42" s="8"/>
      <c r="I42" s="8"/>
      <c r="J42" s="8"/>
      <c r="K42" s="8"/>
    </row>
    <row r="43" spans="1:13" ht="15.45" x14ac:dyDescent="0.4">
      <c r="A43" s="8"/>
      <c r="B43" s="8"/>
      <c r="C43" s="19">
        <v>17</v>
      </c>
      <c r="D43" s="8"/>
      <c r="E43" s="8"/>
      <c r="F43" s="8"/>
      <c r="G43" s="8"/>
      <c r="H43" s="8"/>
      <c r="I43" s="8"/>
      <c r="J43" s="8"/>
      <c r="K43" s="8"/>
    </row>
    <row r="44" spans="1:13" ht="15.45" x14ac:dyDescent="0.4">
      <c r="A44" s="8"/>
      <c r="B44" s="8"/>
      <c r="C44" s="19">
        <v>24</v>
      </c>
      <c r="D44" s="8"/>
      <c r="E44" s="8"/>
      <c r="F44" s="8"/>
      <c r="G44" s="8"/>
      <c r="H44" s="8"/>
      <c r="I44" s="41"/>
      <c r="J44" s="8"/>
      <c r="K44" s="15"/>
    </row>
    <row r="45" spans="1:13" ht="15.9" x14ac:dyDescent="0.45">
      <c r="A45" s="32"/>
      <c r="C45" s="49">
        <v>31</v>
      </c>
      <c r="E45" s="8"/>
      <c r="F45" s="10"/>
      <c r="H45" s="4"/>
      <c r="I45" s="43"/>
    </row>
    <row r="46" spans="1:13" ht="15.45" x14ac:dyDescent="0.4">
      <c r="E46" s="8" t="s">
        <v>104</v>
      </c>
      <c r="I46" s="39">
        <v>5000</v>
      </c>
    </row>
  </sheetData>
  <pageMargins left="0.45" right="0.45" top="0.5" bottom="0.5" header="0.3" footer="0.3"/>
  <pageSetup orientation="portrait" horizontalDpi="4294967293" verticalDpi="0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O40"/>
  <sheetViews>
    <sheetView topLeftCell="A13" workbookViewId="0">
      <selection activeCell="C31" sqref="C31"/>
    </sheetView>
  </sheetViews>
  <sheetFormatPr defaultRowHeight="14.6" x14ac:dyDescent="0.4"/>
  <cols>
    <col min="1" max="1" width="8.84375" customWidth="1"/>
    <col min="2" max="2" width="1" customWidth="1"/>
    <col min="4" max="4" width="1" customWidth="1"/>
    <col min="5" max="5" width="16" customWidth="1"/>
    <col min="6" max="6" width="11.07421875" customWidth="1"/>
    <col min="7" max="7" width="1" customWidth="1"/>
    <col min="9" max="9" width="0.84375" customWidth="1"/>
    <col min="10" max="10" width="10.69140625" bestFit="1" customWidth="1"/>
    <col min="11" max="11" width="0.84375" customWidth="1"/>
    <col min="12" max="12" width="9.3046875" bestFit="1" customWidth="1"/>
    <col min="13" max="13" width="0.84375" customWidth="1"/>
    <col min="14" max="14" width="10.3046875" bestFit="1" customWidth="1"/>
  </cols>
  <sheetData>
    <row r="1" spans="1:15" ht="15.45" x14ac:dyDescent="0.4">
      <c r="A1" s="8"/>
      <c r="B1" s="8"/>
      <c r="C1" s="8"/>
      <c r="D1" s="8" t="s">
        <v>0</v>
      </c>
      <c r="E1" s="8"/>
      <c r="F1" s="8"/>
      <c r="G1" s="8"/>
      <c r="H1" s="8"/>
      <c r="I1" s="8"/>
      <c r="J1" s="8"/>
      <c r="K1" s="8"/>
    </row>
    <row r="2" spans="1:15" ht="15.45" x14ac:dyDescent="0.4">
      <c r="A2" s="8"/>
      <c r="B2" s="8"/>
      <c r="C2" s="8"/>
      <c r="D2" s="8" t="s">
        <v>18</v>
      </c>
      <c r="E2" s="8" t="s">
        <v>40</v>
      </c>
      <c r="F2" s="8"/>
      <c r="G2" s="8"/>
      <c r="H2" s="8"/>
      <c r="I2" s="8"/>
      <c r="J2" s="8"/>
      <c r="K2" s="8"/>
    </row>
    <row r="3" spans="1:15" ht="15.45" x14ac:dyDescent="0.4">
      <c r="A3" s="8"/>
      <c r="B3" s="8"/>
      <c r="C3" s="8"/>
      <c r="D3" s="18"/>
      <c r="E3" s="13" t="s">
        <v>105</v>
      </c>
      <c r="F3" s="8"/>
      <c r="G3" s="8"/>
      <c r="H3" s="8"/>
      <c r="I3" s="8"/>
      <c r="J3" s="8"/>
      <c r="K3" s="8"/>
    </row>
    <row r="4" spans="1:15" ht="15.45" x14ac:dyDescent="0.4">
      <c r="A4" s="8"/>
      <c r="B4" s="8"/>
      <c r="C4" s="8"/>
      <c r="D4" s="8"/>
      <c r="E4" s="8"/>
      <c r="F4" s="8"/>
      <c r="G4" s="8"/>
      <c r="H4" s="8"/>
      <c r="I4" s="8"/>
      <c r="J4" s="8"/>
      <c r="K4" s="8"/>
    </row>
    <row r="5" spans="1:15" ht="15.45" x14ac:dyDescent="0.4">
      <c r="A5" s="8"/>
      <c r="B5" s="8"/>
      <c r="C5" s="8"/>
      <c r="D5" s="8"/>
      <c r="E5" s="8"/>
      <c r="F5" s="19" t="s">
        <v>12</v>
      </c>
      <c r="G5" s="8"/>
      <c r="H5" s="8"/>
      <c r="I5" s="8"/>
      <c r="J5" s="19" t="s">
        <v>80</v>
      </c>
      <c r="K5" s="19"/>
      <c r="L5" s="8" t="s">
        <v>63</v>
      </c>
      <c r="M5" s="8"/>
      <c r="N5" s="50" t="s">
        <v>65</v>
      </c>
    </row>
    <row r="6" spans="1:15" ht="15.45" x14ac:dyDescent="0.4">
      <c r="A6" s="20" t="s">
        <v>5</v>
      </c>
      <c r="B6" s="19"/>
      <c r="C6" s="20" t="s">
        <v>6</v>
      </c>
      <c r="D6" s="8"/>
      <c r="E6" s="20" t="s">
        <v>1</v>
      </c>
      <c r="F6" s="20" t="s">
        <v>3</v>
      </c>
      <c r="G6" s="8"/>
      <c r="H6" s="20" t="s">
        <v>4</v>
      </c>
      <c r="I6" s="8"/>
      <c r="J6" s="20" t="s">
        <v>81</v>
      </c>
      <c r="K6" s="20"/>
      <c r="L6" s="53" t="s">
        <v>64</v>
      </c>
      <c r="M6" s="17"/>
      <c r="N6" s="63" t="s">
        <v>2</v>
      </c>
    </row>
    <row r="7" spans="1:15" ht="15.45" x14ac:dyDescent="0.4">
      <c r="A7" s="9"/>
      <c r="B7" s="19"/>
      <c r="C7" s="19"/>
      <c r="D7" s="8"/>
      <c r="E7" s="17"/>
      <c r="F7" s="21"/>
      <c r="G7" s="8"/>
      <c r="H7" s="19"/>
      <c r="I7" s="8"/>
      <c r="J7" s="19"/>
      <c r="K7" s="19"/>
    </row>
    <row r="8" spans="1:15" ht="15.45" x14ac:dyDescent="0.4">
      <c r="A8" s="9" t="s">
        <v>25</v>
      </c>
      <c r="B8" s="19"/>
      <c r="C8" s="19">
        <v>2158</v>
      </c>
      <c r="D8" s="8"/>
      <c r="E8" s="17" t="s">
        <v>20</v>
      </c>
      <c r="F8" s="21">
        <v>100</v>
      </c>
      <c r="G8" s="8"/>
      <c r="H8" s="25"/>
      <c r="I8" s="8"/>
      <c r="J8" s="19"/>
      <c r="K8" s="19"/>
    </row>
    <row r="9" spans="1:15" ht="15.45" x14ac:dyDescent="0.4">
      <c r="A9" s="9" t="s">
        <v>25</v>
      </c>
      <c r="B9" s="9"/>
      <c r="C9" s="19">
        <v>2159</v>
      </c>
      <c r="D9" s="11"/>
      <c r="E9" s="12" t="s">
        <v>76</v>
      </c>
      <c r="F9" s="21">
        <v>100</v>
      </c>
      <c r="G9" s="8"/>
      <c r="H9" s="19"/>
      <c r="I9" s="8"/>
      <c r="J9" s="19"/>
      <c r="K9" s="19"/>
    </row>
    <row r="10" spans="1:15" ht="15.9" x14ac:dyDescent="0.45">
      <c r="A10" s="9" t="s">
        <v>25</v>
      </c>
      <c r="B10" s="9"/>
      <c r="C10" s="19">
        <v>2160</v>
      </c>
      <c r="D10" s="11"/>
      <c r="E10" s="12" t="s">
        <v>106</v>
      </c>
      <c r="F10" s="21">
        <v>1000</v>
      </c>
      <c r="G10" s="8"/>
      <c r="H10" s="33"/>
      <c r="I10" s="8"/>
      <c r="J10" s="21">
        <v>1000</v>
      </c>
      <c r="K10" s="21"/>
      <c r="L10" s="10"/>
      <c r="M10" s="4"/>
      <c r="N10" s="4">
        <v>1000</v>
      </c>
      <c r="O10" s="4"/>
    </row>
    <row r="11" spans="1:15" ht="15.9" x14ac:dyDescent="0.45">
      <c r="A11" s="9">
        <v>14</v>
      </c>
      <c r="B11" s="9"/>
      <c r="C11" s="19">
        <v>2161</v>
      </c>
      <c r="D11" s="11"/>
      <c r="E11" s="12" t="s">
        <v>44</v>
      </c>
      <c r="F11" s="21">
        <v>100</v>
      </c>
      <c r="G11" s="8"/>
      <c r="H11" s="33"/>
      <c r="I11" s="8"/>
      <c r="J11" s="21"/>
      <c r="K11" s="21"/>
      <c r="L11" s="10"/>
      <c r="M11" s="4"/>
      <c r="N11" s="4"/>
      <c r="O11" s="4"/>
    </row>
    <row r="12" spans="1:15" ht="15.9" x14ac:dyDescent="0.45">
      <c r="A12" s="9">
        <v>14</v>
      </c>
      <c r="B12" s="9"/>
      <c r="C12" s="19">
        <v>2162</v>
      </c>
      <c r="D12" s="11"/>
      <c r="E12" s="12" t="s">
        <v>107</v>
      </c>
      <c r="F12" s="21">
        <v>200</v>
      </c>
      <c r="G12" s="8"/>
      <c r="H12" s="33"/>
      <c r="I12" s="8"/>
      <c r="J12" s="21"/>
      <c r="K12" s="21"/>
      <c r="L12" s="10"/>
      <c r="M12" s="4"/>
      <c r="N12" s="4"/>
      <c r="O12" s="4"/>
    </row>
    <row r="13" spans="1:15" ht="15.9" x14ac:dyDescent="0.45">
      <c r="A13" s="9">
        <v>14</v>
      </c>
      <c r="B13" s="9"/>
      <c r="C13" s="19">
        <v>2163</v>
      </c>
      <c r="D13" s="11"/>
      <c r="E13" s="12" t="s">
        <v>41</v>
      </c>
      <c r="F13" s="42">
        <v>100</v>
      </c>
      <c r="G13" s="8"/>
      <c r="H13" s="33"/>
      <c r="I13" s="8"/>
      <c r="J13" s="21">
        <v>600</v>
      </c>
      <c r="K13" s="21"/>
      <c r="L13" s="10">
        <v>400</v>
      </c>
      <c r="M13" s="4"/>
      <c r="N13" s="4">
        <v>1000</v>
      </c>
      <c r="O13" s="4"/>
    </row>
    <row r="14" spans="1:15" ht="15.9" x14ac:dyDescent="0.45">
      <c r="A14" s="9">
        <v>21</v>
      </c>
      <c r="B14" s="9"/>
      <c r="C14" s="19">
        <v>2164</v>
      </c>
      <c r="D14" s="11"/>
      <c r="E14" s="12" t="s">
        <v>108</v>
      </c>
      <c r="F14" s="21">
        <v>100</v>
      </c>
      <c r="G14" s="8"/>
      <c r="H14" s="33"/>
      <c r="I14" s="8"/>
      <c r="J14" s="21"/>
      <c r="K14" s="19"/>
      <c r="L14" s="13"/>
      <c r="M14" s="58"/>
      <c r="N14" s="56"/>
      <c r="O14" s="56"/>
    </row>
    <row r="15" spans="1:15" ht="15.45" x14ac:dyDescent="0.4">
      <c r="A15" s="9">
        <v>21</v>
      </c>
      <c r="B15" s="9"/>
      <c r="C15" s="19">
        <v>2165</v>
      </c>
      <c r="D15" s="11"/>
      <c r="E15" s="12" t="s">
        <v>76</v>
      </c>
      <c r="F15" s="21">
        <v>100</v>
      </c>
      <c r="G15" s="8"/>
      <c r="H15" s="33"/>
      <c r="I15" s="8"/>
      <c r="J15" s="21"/>
      <c r="K15" s="19"/>
      <c r="L15" s="13"/>
      <c r="M15" s="3"/>
    </row>
    <row r="16" spans="1:15" ht="15.45" x14ac:dyDescent="0.4">
      <c r="A16" s="9">
        <v>21</v>
      </c>
      <c r="B16" s="9"/>
      <c r="C16" s="19">
        <v>2166</v>
      </c>
      <c r="D16" s="13"/>
      <c r="E16" s="17" t="s">
        <v>109</v>
      </c>
      <c r="F16" s="21">
        <v>100</v>
      </c>
      <c r="G16" s="8"/>
      <c r="H16" s="19"/>
      <c r="I16" s="8"/>
      <c r="J16" s="19"/>
      <c r="K16" s="19"/>
      <c r="L16" s="13"/>
      <c r="M16" s="3"/>
    </row>
    <row r="17" spans="1:15" ht="15.45" x14ac:dyDescent="0.4">
      <c r="A17" s="9">
        <v>21</v>
      </c>
      <c r="B17" s="9"/>
      <c r="C17" s="19">
        <v>2167</v>
      </c>
      <c r="D17" s="13"/>
      <c r="E17" s="17" t="s">
        <v>71</v>
      </c>
      <c r="F17" s="42">
        <v>500</v>
      </c>
      <c r="G17" s="8"/>
      <c r="H17" s="19"/>
      <c r="I17" s="8"/>
      <c r="J17" s="21">
        <v>800</v>
      </c>
      <c r="K17" s="19"/>
      <c r="L17" s="10">
        <v>200</v>
      </c>
      <c r="M17" s="3"/>
      <c r="N17" s="2">
        <v>1000</v>
      </c>
    </row>
    <row r="18" spans="1:15" ht="15.45" x14ac:dyDescent="0.4">
      <c r="A18" s="9">
        <v>28</v>
      </c>
      <c r="B18" s="9"/>
      <c r="C18" s="19">
        <v>2168</v>
      </c>
      <c r="D18" s="13"/>
      <c r="E18" s="17" t="s">
        <v>75</v>
      </c>
      <c r="F18" s="21">
        <v>100</v>
      </c>
      <c r="G18" s="8"/>
      <c r="H18" s="19"/>
      <c r="I18" s="8"/>
      <c r="J18" s="19"/>
      <c r="K18" s="19"/>
      <c r="L18" s="13"/>
      <c r="M18" s="3"/>
    </row>
    <row r="19" spans="1:15" ht="15.45" x14ac:dyDescent="0.4">
      <c r="A19" s="9">
        <v>28</v>
      </c>
      <c r="B19" s="9"/>
      <c r="C19" s="19">
        <v>2169</v>
      </c>
      <c r="D19" s="13"/>
      <c r="E19" s="17" t="s">
        <v>110</v>
      </c>
      <c r="F19" s="21">
        <v>100</v>
      </c>
      <c r="G19" s="8"/>
      <c r="H19" s="19"/>
      <c r="I19" s="8"/>
      <c r="J19" s="19"/>
      <c r="K19" s="19"/>
      <c r="L19" s="13"/>
      <c r="M19" s="3"/>
    </row>
    <row r="20" spans="1:15" ht="15.45" x14ac:dyDescent="0.4">
      <c r="A20" s="9">
        <v>28</v>
      </c>
      <c r="B20" s="9"/>
      <c r="C20" s="19">
        <v>2170</v>
      </c>
      <c r="D20" s="13"/>
      <c r="E20" s="17" t="s">
        <v>111</v>
      </c>
      <c r="F20" s="21">
        <v>100</v>
      </c>
      <c r="G20" s="8"/>
      <c r="H20" s="19"/>
      <c r="I20" s="8"/>
      <c r="J20" s="19"/>
      <c r="K20" s="19"/>
      <c r="L20" s="13"/>
      <c r="M20" s="3"/>
    </row>
    <row r="21" spans="1:15" ht="15.45" x14ac:dyDescent="0.4">
      <c r="A21" s="9">
        <v>28</v>
      </c>
      <c r="B21" s="9"/>
      <c r="C21" s="19">
        <v>2171</v>
      </c>
      <c r="D21" s="13"/>
      <c r="E21" s="17" t="s">
        <v>111</v>
      </c>
      <c r="F21" s="21">
        <v>100</v>
      </c>
      <c r="G21" s="8"/>
      <c r="H21" s="19"/>
      <c r="I21" s="8"/>
      <c r="J21" s="19"/>
      <c r="K21" s="19"/>
      <c r="L21" s="13"/>
      <c r="M21" s="3"/>
    </row>
    <row r="22" spans="1:15" ht="15.45" x14ac:dyDescent="0.4">
      <c r="A22" s="9">
        <v>28</v>
      </c>
      <c r="B22" s="9"/>
      <c r="C22" s="19">
        <v>2172</v>
      </c>
      <c r="D22" s="13"/>
      <c r="E22" s="17" t="s">
        <v>112</v>
      </c>
      <c r="F22" s="42">
        <v>500</v>
      </c>
      <c r="G22" s="8"/>
      <c r="H22" s="19"/>
      <c r="I22" s="8"/>
      <c r="J22" s="42">
        <v>900</v>
      </c>
      <c r="K22" s="21"/>
      <c r="L22" s="43">
        <v>100</v>
      </c>
      <c r="M22" s="10"/>
      <c r="N22" s="43">
        <v>1000</v>
      </c>
      <c r="O22" s="10"/>
    </row>
    <row r="23" spans="1:15" ht="15.45" x14ac:dyDescent="0.4">
      <c r="A23" s="9"/>
      <c r="B23" s="8"/>
      <c r="C23" s="19"/>
      <c r="D23" s="8"/>
      <c r="E23" s="8"/>
      <c r="F23" s="10"/>
      <c r="G23" s="10"/>
      <c r="H23" s="14"/>
      <c r="I23" s="11"/>
      <c r="J23" s="14">
        <f>SUM(J9:J22)</f>
        <v>3300</v>
      </c>
      <c r="K23" s="14"/>
      <c r="L23" s="10">
        <f>SUM(L12:L22)</f>
        <v>700</v>
      </c>
      <c r="M23" s="10"/>
      <c r="N23" s="15">
        <f>SUM(N10:N22)</f>
        <v>4000</v>
      </c>
    </row>
    <row r="24" spans="1:15" ht="15.45" x14ac:dyDescent="0.4">
      <c r="A24" s="9"/>
      <c r="B24" s="8"/>
      <c r="C24" s="19"/>
      <c r="D24" s="8"/>
      <c r="E24" s="8"/>
      <c r="F24" s="10"/>
      <c r="G24" s="10"/>
      <c r="H24" s="14"/>
      <c r="I24" s="11"/>
      <c r="J24" s="12"/>
      <c r="K24" s="12"/>
    </row>
    <row r="25" spans="1:15" ht="15.45" x14ac:dyDescent="0.4">
      <c r="A25" s="8"/>
      <c r="B25" s="8"/>
      <c r="C25" s="8" t="s">
        <v>13</v>
      </c>
      <c r="D25" s="8"/>
      <c r="E25" s="8"/>
      <c r="F25" s="8"/>
      <c r="G25" s="8"/>
      <c r="H25" s="8"/>
      <c r="I25" s="8"/>
      <c r="J25" s="8"/>
      <c r="K25" s="8"/>
    </row>
    <row r="26" spans="1:15" ht="15.45" x14ac:dyDescent="0.4">
      <c r="A26" s="8"/>
      <c r="B26" s="8"/>
      <c r="C26" s="8"/>
      <c r="D26" s="8"/>
      <c r="E26" s="22"/>
      <c r="F26" s="8"/>
      <c r="G26" s="8"/>
      <c r="H26" s="8"/>
      <c r="I26" s="8"/>
      <c r="J26" s="8"/>
      <c r="K26" s="8"/>
    </row>
    <row r="27" spans="1:15" ht="15.45" x14ac:dyDescent="0.4">
      <c r="A27" s="8"/>
      <c r="B27" s="8"/>
      <c r="C27" s="8"/>
      <c r="D27" s="8"/>
      <c r="E27" s="19" t="s">
        <v>15</v>
      </c>
      <c r="F27" s="8"/>
      <c r="G27" s="8"/>
      <c r="H27" s="8"/>
      <c r="I27" s="8"/>
      <c r="J27" s="8"/>
      <c r="K27" s="8"/>
    </row>
    <row r="29" spans="1:15" ht="15.45" x14ac:dyDescent="0.4">
      <c r="A29" s="22" t="s">
        <v>51</v>
      </c>
      <c r="B29" s="8"/>
      <c r="C29" s="8"/>
      <c r="D29" s="8"/>
      <c r="E29" s="8"/>
      <c r="F29" s="8"/>
      <c r="G29" s="8"/>
      <c r="H29" s="8"/>
      <c r="I29" s="8"/>
      <c r="J29" s="19"/>
      <c r="K29" s="19"/>
    </row>
    <row r="30" spans="1:15" ht="15.45" x14ac:dyDescent="0.4">
      <c r="A30" s="8" t="s">
        <v>62</v>
      </c>
      <c r="B30" s="8"/>
      <c r="C30" s="9" t="s">
        <v>25</v>
      </c>
      <c r="D30" s="8"/>
      <c r="E30" s="8"/>
      <c r="F30" s="8"/>
      <c r="G30" s="8"/>
      <c r="H30" s="8"/>
      <c r="I30" s="10"/>
      <c r="J30" s="15"/>
      <c r="K30" s="15"/>
    </row>
    <row r="31" spans="1:15" ht="15.45" x14ac:dyDescent="0.4">
      <c r="A31" s="8"/>
      <c r="B31" s="8"/>
      <c r="C31" s="9" t="s">
        <v>73</v>
      </c>
      <c r="D31" s="8"/>
      <c r="E31" s="8"/>
      <c r="F31" s="8"/>
      <c r="G31" s="8"/>
      <c r="H31" s="8"/>
      <c r="I31" s="8"/>
      <c r="J31" s="15"/>
      <c r="K31" s="15"/>
    </row>
    <row r="32" spans="1:15" ht="15.45" x14ac:dyDescent="0.4">
      <c r="A32" s="8"/>
      <c r="B32" s="8"/>
      <c r="C32" s="19">
        <v>21</v>
      </c>
      <c r="D32" s="8"/>
      <c r="E32" s="8"/>
      <c r="F32" s="8"/>
      <c r="G32" s="8"/>
      <c r="H32" s="8"/>
      <c r="I32" s="8"/>
      <c r="J32" s="8"/>
      <c r="K32" s="8"/>
    </row>
    <row r="33" spans="1:11" ht="15.45" x14ac:dyDescent="0.4">
      <c r="A33" s="8"/>
      <c r="B33" s="8"/>
      <c r="C33" s="19">
        <v>28</v>
      </c>
      <c r="D33" s="8"/>
      <c r="E33" s="8"/>
      <c r="F33" s="8"/>
      <c r="G33" s="8"/>
      <c r="H33" s="8"/>
      <c r="I33" s="8"/>
      <c r="J33" s="8"/>
      <c r="K33" s="8"/>
    </row>
    <row r="34" spans="1:11" ht="15.9" x14ac:dyDescent="0.45">
      <c r="A34" s="32"/>
      <c r="C34" s="49"/>
      <c r="E34" s="8" t="s">
        <v>83</v>
      </c>
      <c r="F34" s="10"/>
      <c r="H34" s="4"/>
      <c r="I34" s="8"/>
      <c r="J34" s="15">
        <v>4000</v>
      </c>
      <c r="K34" s="8"/>
    </row>
    <row r="35" spans="1:11" ht="15.45" x14ac:dyDescent="0.4">
      <c r="I35" s="8"/>
      <c r="J35" s="8"/>
      <c r="K35" s="8"/>
    </row>
    <row r="36" spans="1:11" ht="15.45" x14ac:dyDescent="0.4">
      <c r="A36" s="32"/>
      <c r="E36" s="8"/>
      <c r="F36" s="41"/>
      <c r="G36" s="8"/>
      <c r="H36" s="41"/>
      <c r="I36" s="8"/>
      <c r="J36" s="15"/>
      <c r="K36" s="15"/>
    </row>
    <row r="37" spans="1:11" ht="15.45" x14ac:dyDescent="0.4">
      <c r="A37" s="1"/>
      <c r="E37" s="8"/>
      <c r="F37" s="41"/>
      <c r="G37" s="8"/>
      <c r="H37" s="41"/>
      <c r="I37" s="8"/>
      <c r="J37" s="13"/>
      <c r="K37" s="13"/>
    </row>
    <row r="38" spans="1:11" ht="15.9" x14ac:dyDescent="0.45">
      <c r="A38" s="32"/>
      <c r="E38" s="8"/>
      <c r="F38" s="41"/>
      <c r="H38" s="51"/>
    </row>
    <row r="39" spans="1:11" ht="15.45" x14ac:dyDescent="0.4">
      <c r="A39" s="1"/>
      <c r="E39" s="8"/>
      <c r="F39" s="41"/>
      <c r="H39" s="41"/>
    </row>
    <row r="40" spans="1:11" ht="15.45" x14ac:dyDescent="0.4">
      <c r="F40" s="44"/>
    </row>
  </sheetData>
  <pageMargins left="0.45" right="0.45" top="0.75" bottom="0.75" header="0.3" footer="0.3"/>
  <pageSetup orientation="portrait" horizontalDpi="4294967293" verticalDpi="0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O36"/>
  <sheetViews>
    <sheetView topLeftCell="A13" workbookViewId="0">
      <selection activeCell="Q8" sqref="Q7:Q8"/>
    </sheetView>
  </sheetViews>
  <sheetFormatPr defaultRowHeight="14.6" x14ac:dyDescent="0.4"/>
  <cols>
    <col min="2" max="2" width="0.69140625" customWidth="1"/>
    <col min="4" max="4" width="0.69140625" customWidth="1"/>
    <col min="5" max="5" width="17.53515625" customWidth="1"/>
    <col min="6" max="6" width="13" customWidth="1"/>
    <col min="7" max="7" width="1.07421875" customWidth="1"/>
    <col min="8" max="8" width="8.07421875" customWidth="1"/>
    <col min="9" max="9" width="10.53515625" bestFit="1" customWidth="1"/>
    <col min="10" max="10" width="0.69140625" customWidth="1"/>
    <col min="11" max="11" width="10.3046875" bestFit="1" customWidth="1"/>
    <col min="12" max="12" width="0.84375" customWidth="1"/>
    <col min="13" max="13" width="10.3046875" bestFit="1" customWidth="1"/>
  </cols>
  <sheetData>
    <row r="1" spans="1:15" ht="15.45" x14ac:dyDescent="0.4">
      <c r="A1" s="8"/>
      <c r="B1" s="8"/>
      <c r="C1" s="8"/>
      <c r="D1" s="8" t="s">
        <v>0</v>
      </c>
      <c r="E1" s="8"/>
      <c r="F1" s="8"/>
      <c r="G1" s="8"/>
      <c r="H1" s="8"/>
      <c r="I1" s="8"/>
      <c r="J1" s="8"/>
      <c r="K1" s="8"/>
      <c r="L1" s="8"/>
    </row>
    <row r="2" spans="1:15" ht="15.45" x14ac:dyDescent="0.4">
      <c r="A2" s="8"/>
      <c r="B2" s="8"/>
      <c r="C2" s="8"/>
      <c r="D2" s="8" t="s">
        <v>18</v>
      </c>
      <c r="E2" s="8" t="s">
        <v>40</v>
      </c>
      <c r="F2" s="8"/>
      <c r="G2" s="8"/>
      <c r="H2" s="8"/>
      <c r="I2" s="8"/>
      <c r="J2" s="8"/>
      <c r="K2" s="8"/>
      <c r="L2" s="8"/>
    </row>
    <row r="3" spans="1:15" ht="15.45" x14ac:dyDescent="0.4">
      <c r="A3" s="8"/>
      <c r="B3" s="8"/>
      <c r="C3" s="8"/>
      <c r="D3" s="18"/>
      <c r="E3" s="13" t="s">
        <v>113</v>
      </c>
      <c r="F3" s="8"/>
      <c r="G3" s="8"/>
      <c r="H3" s="8"/>
      <c r="I3" s="8"/>
      <c r="J3" s="8"/>
      <c r="K3" s="8"/>
      <c r="L3" s="8"/>
    </row>
    <row r="4" spans="1:15" ht="15.45" x14ac:dyDescent="0.4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</row>
    <row r="5" spans="1:15" ht="15.45" x14ac:dyDescent="0.4">
      <c r="A5" s="8"/>
      <c r="B5" s="8"/>
      <c r="C5" s="8"/>
      <c r="D5" s="8"/>
      <c r="E5" s="8"/>
      <c r="F5" s="19" t="s">
        <v>12</v>
      </c>
      <c r="G5" s="8"/>
      <c r="H5" s="8"/>
      <c r="I5" s="19" t="s">
        <v>80</v>
      </c>
      <c r="J5" s="8"/>
      <c r="K5" s="8" t="s">
        <v>63</v>
      </c>
      <c r="L5" s="8"/>
      <c r="M5" s="19" t="s">
        <v>65</v>
      </c>
    </row>
    <row r="6" spans="1:15" ht="15.45" x14ac:dyDescent="0.4">
      <c r="A6" s="20" t="s">
        <v>5</v>
      </c>
      <c r="B6" s="19"/>
      <c r="C6" s="20" t="s">
        <v>6</v>
      </c>
      <c r="D6" s="8"/>
      <c r="E6" s="20" t="s">
        <v>1</v>
      </c>
      <c r="F6" s="20" t="s">
        <v>3</v>
      </c>
      <c r="G6" s="8"/>
      <c r="H6" s="20" t="s">
        <v>4</v>
      </c>
      <c r="I6" s="20" t="s">
        <v>114</v>
      </c>
      <c r="J6" s="8"/>
      <c r="K6" s="53" t="s">
        <v>64</v>
      </c>
      <c r="L6" s="53"/>
      <c r="M6" s="20" t="s">
        <v>2</v>
      </c>
      <c r="N6" s="19"/>
    </row>
    <row r="7" spans="1:15" ht="15.45" x14ac:dyDescent="0.4">
      <c r="A7" s="9"/>
      <c r="B7" s="19"/>
      <c r="C7" s="19"/>
      <c r="D7" s="8"/>
      <c r="E7" s="17"/>
      <c r="F7" s="21"/>
      <c r="G7" s="8"/>
      <c r="H7" s="19"/>
      <c r="I7" s="21"/>
      <c r="J7" s="8"/>
      <c r="K7" s="19"/>
      <c r="L7" s="19"/>
      <c r="M7" s="8"/>
    </row>
    <row r="8" spans="1:15" ht="15.45" x14ac:dyDescent="0.4">
      <c r="A8" s="9" t="s">
        <v>28</v>
      </c>
      <c r="B8" s="9"/>
      <c r="C8" s="19">
        <v>2172</v>
      </c>
      <c r="D8" s="11"/>
      <c r="E8" s="12" t="s">
        <v>44</v>
      </c>
      <c r="F8" s="21">
        <v>100</v>
      </c>
      <c r="G8" s="8"/>
      <c r="H8" s="33"/>
      <c r="I8" s="54"/>
      <c r="J8" s="8"/>
      <c r="K8" s="19"/>
      <c r="L8" s="19"/>
      <c r="M8" s="39"/>
      <c r="N8" s="13"/>
    </row>
    <row r="9" spans="1:15" ht="15.45" x14ac:dyDescent="0.4">
      <c r="A9" s="9" t="s">
        <v>28</v>
      </c>
      <c r="B9" s="19"/>
      <c r="C9" s="19">
        <v>2173</v>
      </c>
      <c r="D9" s="8"/>
      <c r="E9" s="17" t="s">
        <v>8</v>
      </c>
      <c r="F9" s="21">
        <v>100</v>
      </c>
      <c r="G9" s="8"/>
      <c r="H9" s="21"/>
      <c r="I9" s="21"/>
      <c r="J9" s="8"/>
      <c r="K9" s="19"/>
      <c r="L9" s="19"/>
    </row>
    <row r="10" spans="1:15" ht="15.45" x14ac:dyDescent="0.4">
      <c r="A10" s="9" t="s">
        <v>28</v>
      </c>
      <c r="B10" s="19"/>
      <c r="C10" s="19">
        <v>2175</v>
      </c>
      <c r="D10" s="8"/>
      <c r="E10" s="17" t="s">
        <v>20</v>
      </c>
      <c r="F10" s="21">
        <v>100</v>
      </c>
      <c r="G10" s="8"/>
      <c r="H10" s="21"/>
      <c r="I10" s="21"/>
      <c r="J10" s="8"/>
      <c r="K10" s="19"/>
      <c r="L10" s="19"/>
    </row>
    <row r="11" spans="1:15" ht="15.45" x14ac:dyDescent="0.4">
      <c r="A11" s="9" t="s">
        <v>28</v>
      </c>
      <c r="B11" s="8"/>
      <c r="C11" s="19">
        <v>2176</v>
      </c>
      <c r="D11" s="8"/>
      <c r="E11" s="8" t="s">
        <v>115</v>
      </c>
      <c r="F11" s="43">
        <v>300</v>
      </c>
      <c r="G11" s="10"/>
      <c r="H11" s="14"/>
      <c r="I11" s="14">
        <v>600</v>
      </c>
      <c r="J11" s="64"/>
      <c r="K11" s="14">
        <v>400</v>
      </c>
      <c r="L11" s="14"/>
      <c r="M11" s="10">
        <v>1000</v>
      </c>
      <c r="N11" s="10"/>
      <c r="O11" s="10"/>
    </row>
    <row r="12" spans="1:15" ht="15.45" x14ac:dyDescent="0.4">
      <c r="A12" s="9">
        <v>11</v>
      </c>
      <c r="B12" s="8"/>
      <c r="C12" s="19">
        <v>2177</v>
      </c>
      <c r="D12" s="8"/>
      <c r="E12" s="8" t="s">
        <v>44</v>
      </c>
      <c r="F12" s="10">
        <v>100</v>
      </c>
      <c r="G12" s="10"/>
      <c r="H12" s="14"/>
      <c r="I12" s="14"/>
      <c r="J12" s="64"/>
      <c r="K12" s="14"/>
      <c r="L12" s="14"/>
      <c r="M12" s="10"/>
      <c r="N12" s="10"/>
      <c r="O12" s="10"/>
    </row>
    <row r="13" spans="1:15" ht="15.45" x14ac:dyDescent="0.4">
      <c r="A13" s="9">
        <v>11</v>
      </c>
      <c r="B13" s="8"/>
      <c r="C13" s="19">
        <v>2178</v>
      </c>
      <c r="D13" s="8"/>
      <c r="E13" s="8" t="s">
        <v>74</v>
      </c>
      <c r="F13" s="10">
        <v>120</v>
      </c>
      <c r="G13" s="10"/>
      <c r="H13" s="14"/>
      <c r="I13" s="14"/>
      <c r="J13" s="64"/>
      <c r="K13" s="14"/>
      <c r="L13" s="14"/>
      <c r="M13" s="10"/>
      <c r="N13" s="10"/>
      <c r="O13" s="10"/>
    </row>
    <row r="14" spans="1:15" ht="15.45" x14ac:dyDescent="0.4">
      <c r="A14" s="9">
        <v>11</v>
      </c>
      <c r="B14" s="8"/>
      <c r="C14" s="19">
        <v>2179</v>
      </c>
      <c r="D14" s="8"/>
      <c r="E14" s="8" t="s">
        <v>85</v>
      </c>
      <c r="F14" s="10">
        <v>100</v>
      </c>
      <c r="G14" s="10"/>
      <c r="H14" s="14"/>
      <c r="I14" s="14"/>
      <c r="J14" s="64"/>
      <c r="K14" s="14"/>
      <c r="L14" s="14"/>
      <c r="M14" s="10"/>
      <c r="N14" s="10"/>
      <c r="O14" s="10"/>
    </row>
    <row r="15" spans="1:15" ht="15.45" x14ac:dyDescent="0.4">
      <c r="A15" s="9">
        <v>11</v>
      </c>
      <c r="B15" s="8"/>
      <c r="C15" s="19">
        <v>2180</v>
      </c>
      <c r="D15" s="8"/>
      <c r="E15" s="8" t="s">
        <v>33</v>
      </c>
      <c r="F15" s="10">
        <v>100</v>
      </c>
      <c r="G15" s="10"/>
      <c r="H15" s="14"/>
      <c r="I15" s="14"/>
      <c r="J15" s="64"/>
      <c r="K15" s="14"/>
      <c r="L15" s="14"/>
      <c r="M15" s="10"/>
      <c r="N15" s="10"/>
      <c r="O15" s="10"/>
    </row>
    <row r="16" spans="1:15" ht="15.45" x14ac:dyDescent="0.4">
      <c r="A16" s="9">
        <v>11</v>
      </c>
      <c r="B16" s="8"/>
      <c r="C16" s="19">
        <v>2181</v>
      </c>
      <c r="D16" s="8"/>
      <c r="E16" s="8" t="s">
        <v>41</v>
      </c>
      <c r="F16" s="43">
        <v>100</v>
      </c>
      <c r="G16" s="10"/>
      <c r="H16" s="14"/>
      <c r="I16" s="14">
        <f>SUM(F12:F16)</f>
        <v>520</v>
      </c>
      <c r="J16" s="64"/>
      <c r="K16" s="14">
        <v>480</v>
      </c>
      <c r="L16" s="14"/>
      <c r="M16" s="10">
        <f>SUM(I16:K16)</f>
        <v>1000</v>
      </c>
      <c r="N16" s="10"/>
      <c r="O16" s="10"/>
    </row>
    <row r="17" spans="1:15" ht="15.45" x14ac:dyDescent="0.4">
      <c r="A17" s="9">
        <v>18</v>
      </c>
      <c r="B17" s="8"/>
      <c r="C17" s="19">
        <v>2182</v>
      </c>
      <c r="D17" s="8"/>
      <c r="E17" s="8" t="s">
        <v>74</v>
      </c>
      <c r="F17" s="10">
        <v>150</v>
      </c>
      <c r="G17" s="10"/>
      <c r="H17" s="14"/>
      <c r="I17" s="14"/>
      <c r="J17" s="64"/>
      <c r="K17" s="14"/>
      <c r="L17" s="14"/>
      <c r="M17" s="10"/>
      <c r="N17" s="10"/>
      <c r="O17" s="10"/>
    </row>
    <row r="18" spans="1:15" ht="15.45" x14ac:dyDescent="0.4">
      <c r="A18" s="9">
        <v>18</v>
      </c>
      <c r="B18" s="8"/>
      <c r="C18" s="19">
        <v>2183</v>
      </c>
      <c r="D18" s="8"/>
      <c r="E18" s="8" t="s">
        <v>41</v>
      </c>
      <c r="F18" s="43">
        <v>100</v>
      </c>
      <c r="G18" s="10"/>
      <c r="H18" s="14"/>
      <c r="I18" s="14">
        <v>250</v>
      </c>
      <c r="J18" s="64"/>
      <c r="K18" s="14">
        <v>750</v>
      </c>
      <c r="L18" s="14"/>
      <c r="M18" s="10">
        <v>1000</v>
      </c>
      <c r="N18" s="10"/>
      <c r="O18" s="10"/>
    </row>
    <row r="19" spans="1:15" ht="15.45" x14ac:dyDescent="0.4">
      <c r="A19" s="9">
        <v>25</v>
      </c>
      <c r="B19" s="8"/>
      <c r="C19" s="19">
        <v>2184</v>
      </c>
      <c r="D19" s="8"/>
      <c r="E19" s="8" t="s">
        <v>74</v>
      </c>
      <c r="F19" s="10">
        <v>100</v>
      </c>
      <c r="G19" s="10"/>
      <c r="H19" s="14"/>
      <c r="I19" s="14"/>
      <c r="J19" s="64"/>
      <c r="K19" s="14"/>
      <c r="L19" s="14"/>
      <c r="M19" s="10"/>
      <c r="N19" s="10"/>
      <c r="O19" s="10"/>
    </row>
    <row r="20" spans="1:15" ht="15.45" x14ac:dyDescent="0.4">
      <c r="A20" s="9">
        <v>25</v>
      </c>
      <c r="B20" s="8"/>
      <c r="C20" s="19">
        <v>2185</v>
      </c>
      <c r="D20" s="8"/>
      <c r="E20" s="8" t="s">
        <v>85</v>
      </c>
      <c r="F20" s="10">
        <v>100</v>
      </c>
      <c r="G20" s="10"/>
      <c r="H20" s="14"/>
      <c r="I20" s="14"/>
      <c r="J20" s="64"/>
      <c r="K20" s="14"/>
      <c r="L20" s="14"/>
      <c r="M20" s="10"/>
      <c r="N20" s="10"/>
      <c r="O20" s="10"/>
    </row>
    <row r="21" spans="1:15" ht="15.45" x14ac:dyDescent="0.4">
      <c r="A21" s="9">
        <v>25</v>
      </c>
      <c r="B21" s="8"/>
      <c r="C21" s="19">
        <v>2186</v>
      </c>
      <c r="D21" s="8"/>
      <c r="E21" s="8" t="s">
        <v>33</v>
      </c>
      <c r="F21" s="10">
        <v>100</v>
      </c>
      <c r="G21" s="10"/>
      <c r="H21" s="14"/>
      <c r="I21" s="14"/>
      <c r="J21" s="64"/>
      <c r="K21" s="14"/>
      <c r="L21" s="14"/>
      <c r="M21" s="10"/>
      <c r="N21" s="10"/>
      <c r="O21" s="10"/>
    </row>
    <row r="22" spans="1:15" ht="15.45" x14ac:dyDescent="0.4">
      <c r="A22" s="9">
        <v>25</v>
      </c>
      <c r="B22" s="8"/>
      <c r="C22" s="19">
        <v>2187</v>
      </c>
      <c r="D22" s="8"/>
      <c r="E22" s="8" t="s">
        <v>97</v>
      </c>
      <c r="F22" s="43">
        <v>200</v>
      </c>
      <c r="G22" s="10"/>
      <c r="H22" s="14"/>
      <c r="I22" s="16">
        <v>500</v>
      </c>
      <c r="J22" s="64"/>
      <c r="K22" s="16">
        <v>500</v>
      </c>
      <c r="L22" s="40"/>
      <c r="M22" s="43">
        <v>1000</v>
      </c>
      <c r="N22" s="10"/>
      <c r="O22" s="10"/>
    </row>
    <row r="23" spans="1:15" ht="15.45" x14ac:dyDescent="0.4">
      <c r="A23" s="9"/>
      <c r="B23" s="8"/>
      <c r="C23" s="19">
        <v>2188</v>
      </c>
      <c r="D23" s="8"/>
      <c r="E23" s="8" t="s">
        <v>118</v>
      </c>
      <c r="F23" s="41"/>
      <c r="G23" s="10"/>
      <c r="H23" s="14"/>
      <c r="I23" s="40"/>
      <c r="J23" s="64"/>
      <c r="K23" s="40"/>
      <c r="L23" s="40"/>
      <c r="M23" s="41"/>
      <c r="N23" s="10"/>
      <c r="O23" s="10"/>
    </row>
    <row r="24" spans="1:15" ht="15.45" x14ac:dyDescent="0.4">
      <c r="A24" s="9"/>
      <c r="B24" s="8"/>
      <c r="C24" s="19"/>
      <c r="D24" s="8"/>
      <c r="E24" s="8"/>
      <c r="F24" s="41"/>
      <c r="G24" s="10"/>
      <c r="H24" s="14"/>
      <c r="I24" s="14">
        <f>SUM(I8:I22)</f>
        <v>1870</v>
      </c>
      <c r="J24" s="64"/>
      <c r="K24" s="14">
        <f>SUM(K10:K22)</f>
        <v>2130</v>
      </c>
      <c r="L24" s="14"/>
      <c r="M24" s="10">
        <f>SUM(I24:K24)</f>
        <v>4000</v>
      </c>
      <c r="N24" s="10"/>
      <c r="O24" s="10"/>
    </row>
    <row r="25" spans="1:15" ht="15.45" x14ac:dyDescent="0.4">
      <c r="A25" s="9"/>
      <c r="B25" s="8"/>
      <c r="C25" s="19"/>
      <c r="D25" s="8"/>
      <c r="E25" s="8"/>
      <c r="F25" s="41"/>
      <c r="G25" s="10"/>
      <c r="H25" s="14"/>
      <c r="I25" s="14"/>
      <c r="J25" s="64"/>
      <c r="K25" s="14"/>
      <c r="L25" s="14"/>
      <c r="M25" s="10"/>
      <c r="N25" s="10"/>
      <c r="O25" s="10"/>
    </row>
    <row r="26" spans="1:15" ht="15.45" x14ac:dyDescent="0.4">
      <c r="A26" s="9"/>
      <c r="B26" s="8"/>
      <c r="C26" s="19"/>
      <c r="D26" s="8"/>
      <c r="E26" s="8"/>
      <c r="F26" s="10"/>
      <c r="G26" s="10"/>
      <c r="H26" s="14"/>
      <c r="I26" s="14"/>
      <c r="J26" s="64"/>
      <c r="K26" s="14"/>
      <c r="L26" s="14"/>
      <c r="M26" s="10"/>
      <c r="N26" s="10"/>
      <c r="O26" s="10"/>
    </row>
    <row r="27" spans="1:15" ht="15.45" x14ac:dyDescent="0.4">
      <c r="A27" s="8"/>
      <c r="B27" s="8"/>
      <c r="C27" s="8" t="s">
        <v>13</v>
      </c>
      <c r="D27" s="8"/>
      <c r="E27" s="8"/>
      <c r="F27" s="8"/>
      <c r="G27" s="8"/>
      <c r="H27" s="8"/>
      <c r="I27" s="10"/>
      <c r="J27" s="10"/>
      <c r="K27" s="10"/>
      <c r="L27" s="10"/>
      <c r="M27" s="10"/>
      <c r="N27" s="10"/>
      <c r="O27" s="10"/>
    </row>
    <row r="28" spans="1:15" ht="15.45" x14ac:dyDescent="0.4">
      <c r="A28" s="8"/>
      <c r="B28" s="8"/>
      <c r="C28" s="8"/>
      <c r="D28" s="8"/>
      <c r="E28" s="22"/>
      <c r="F28" s="8"/>
      <c r="G28" s="8"/>
      <c r="H28" s="8"/>
      <c r="I28" s="8"/>
      <c r="J28" s="8"/>
      <c r="K28" s="8"/>
      <c r="L28" s="8"/>
    </row>
    <row r="29" spans="1:15" ht="15.45" x14ac:dyDescent="0.4">
      <c r="A29" s="8"/>
      <c r="B29" s="8"/>
      <c r="C29" s="8"/>
      <c r="D29" s="8"/>
      <c r="E29" s="19"/>
      <c r="F29" s="8"/>
      <c r="G29" s="8"/>
      <c r="H29" s="8"/>
      <c r="I29" s="8"/>
      <c r="J29" s="8"/>
      <c r="K29" s="8"/>
      <c r="L29" s="8"/>
    </row>
    <row r="31" spans="1:15" ht="15.45" x14ac:dyDescent="0.4">
      <c r="A31" s="22" t="s">
        <v>51</v>
      </c>
      <c r="B31" s="8"/>
      <c r="C31" s="8"/>
      <c r="D31" s="8"/>
      <c r="E31" s="8"/>
      <c r="F31" s="8"/>
      <c r="G31" s="8"/>
      <c r="H31" s="8"/>
      <c r="I31" s="20" t="s">
        <v>2</v>
      </c>
    </row>
    <row r="32" spans="1:15" ht="15.45" x14ac:dyDescent="0.4">
      <c r="A32" s="8" t="s">
        <v>69</v>
      </c>
      <c r="B32" s="8"/>
      <c r="C32" s="9" t="s">
        <v>28</v>
      </c>
      <c r="D32" s="8"/>
      <c r="E32" s="8"/>
      <c r="F32" s="8"/>
      <c r="G32" s="8"/>
      <c r="H32" s="8"/>
      <c r="I32" s="10"/>
    </row>
    <row r="33" spans="1:9" ht="15.45" x14ac:dyDescent="0.4">
      <c r="A33" s="8"/>
      <c r="B33" s="8"/>
      <c r="C33" s="9" t="s">
        <v>116</v>
      </c>
      <c r="D33" s="8"/>
      <c r="E33" s="8"/>
      <c r="F33" s="8"/>
      <c r="G33" s="8"/>
      <c r="H33" s="8"/>
      <c r="I33" s="10"/>
    </row>
    <row r="34" spans="1:9" ht="15.45" x14ac:dyDescent="0.4">
      <c r="A34" s="8"/>
      <c r="B34" s="8"/>
      <c r="C34" s="19">
        <v>18</v>
      </c>
      <c r="D34" s="8"/>
      <c r="E34" s="8"/>
      <c r="F34" s="8"/>
      <c r="G34" s="8"/>
      <c r="H34" s="8"/>
      <c r="I34" s="8"/>
    </row>
    <row r="35" spans="1:9" ht="15.9" x14ac:dyDescent="0.45">
      <c r="A35" s="32"/>
      <c r="C35" s="49">
        <v>25</v>
      </c>
      <c r="E35" s="8"/>
      <c r="F35" s="10"/>
      <c r="H35" s="4"/>
      <c r="I35" s="43"/>
    </row>
    <row r="36" spans="1:9" ht="15.45" x14ac:dyDescent="0.4">
      <c r="E36" s="8" t="s">
        <v>117</v>
      </c>
      <c r="F36" s="8"/>
      <c r="G36" s="8"/>
      <c r="H36" s="8"/>
      <c r="I36" s="10">
        <v>4000</v>
      </c>
    </row>
  </sheetData>
  <pageMargins left="0.45" right="0.45" top="0.75" bottom="0.75" header="0.3" footer="0.3"/>
  <pageSetup orientation="portrait" horizontalDpi="4294967293" verticalDpi="0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N62"/>
  <sheetViews>
    <sheetView topLeftCell="A43" workbookViewId="0">
      <selection activeCell="I59" sqref="I59"/>
    </sheetView>
  </sheetViews>
  <sheetFormatPr defaultRowHeight="14.6" x14ac:dyDescent="0.4"/>
  <cols>
    <col min="1" max="1" width="6.69140625" customWidth="1"/>
    <col min="2" max="2" width="0.84375" customWidth="1"/>
    <col min="3" max="3" width="6.69140625" customWidth="1"/>
    <col min="4" max="4" width="0.84375" customWidth="1"/>
    <col min="5" max="5" width="16.3046875" customWidth="1"/>
    <col min="6" max="6" width="13.3046875" customWidth="1"/>
    <col min="7" max="7" width="0.69140625" customWidth="1"/>
    <col min="8" max="9" width="11.3046875" customWidth="1"/>
    <col min="10" max="10" width="1.07421875" customWidth="1"/>
    <col min="11" max="11" width="9.3046875" customWidth="1"/>
    <col min="12" max="12" width="10.3046875" customWidth="1"/>
    <col min="13" max="13" width="10.3046875" bestFit="1" customWidth="1"/>
  </cols>
  <sheetData>
    <row r="1" spans="1:13" ht="15.45" x14ac:dyDescent="0.4">
      <c r="A1" s="8"/>
      <c r="B1" s="8"/>
      <c r="C1" s="8"/>
      <c r="D1" s="8" t="s">
        <v>0</v>
      </c>
      <c r="E1" s="8"/>
      <c r="F1" s="8"/>
      <c r="G1" s="8"/>
      <c r="H1" s="8"/>
      <c r="I1" s="8"/>
      <c r="J1" s="8"/>
      <c r="K1" s="8"/>
    </row>
    <row r="2" spans="1:13" ht="15.45" x14ac:dyDescent="0.4">
      <c r="A2" s="8"/>
      <c r="B2" s="8"/>
      <c r="C2" s="8"/>
      <c r="D2" s="8" t="s">
        <v>18</v>
      </c>
      <c r="E2" s="8" t="s">
        <v>40</v>
      </c>
      <c r="F2" s="8"/>
      <c r="G2" s="8"/>
      <c r="H2" s="8"/>
      <c r="I2" s="8"/>
      <c r="J2" s="8"/>
      <c r="K2" s="8"/>
    </row>
    <row r="3" spans="1:13" ht="15.45" x14ac:dyDescent="0.4">
      <c r="A3" s="8"/>
      <c r="B3" s="8"/>
      <c r="C3" s="8"/>
      <c r="D3" s="18"/>
      <c r="E3" s="13" t="s">
        <v>163</v>
      </c>
      <c r="F3" s="8"/>
      <c r="G3" s="8"/>
      <c r="H3" s="8"/>
      <c r="I3" s="8"/>
      <c r="J3" s="8"/>
      <c r="K3" s="8"/>
    </row>
    <row r="4" spans="1:13" ht="15.45" x14ac:dyDescent="0.4">
      <c r="A4" s="8"/>
      <c r="B4" s="8"/>
      <c r="C4" s="8"/>
      <c r="D4" s="8"/>
      <c r="E4" s="8"/>
      <c r="F4" s="19" t="s">
        <v>12</v>
      </c>
      <c r="G4" s="8"/>
      <c r="H4" s="8"/>
      <c r="I4" s="19" t="s">
        <v>80</v>
      </c>
      <c r="J4" s="8"/>
      <c r="K4" s="8" t="s">
        <v>63</v>
      </c>
      <c r="L4" s="19" t="s">
        <v>65</v>
      </c>
    </row>
    <row r="5" spans="1:13" ht="15.45" x14ac:dyDescent="0.4">
      <c r="A5" s="20" t="s">
        <v>5</v>
      </c>
      <c r="B5" s="19"/>
      <c r="C5" s="20" t="s">
        <v>6</v>
      </c>
      <c r="D5" s="8"/>
      <c r="E5" s="20" t="s">
        <v>1</v>
      </c>
      <c r="F5" s="20" t="s">
        <v>3</v>
      </c>
      <c r="G5" s="8"/>
      <c r="H5" s="20" t="s">
        <v>46</v>
      </c>
      <c r="I5" s="20" t="s">
        <v>114</v>
      </c>
      <c r="J5" s="8"/>
      <c r="K5" s="53" t="s">
        <v>64</v>
      </c>
      <c r="L5" s="20" t="s">
        <v>2</v>
      </c>
    </row>
    <row r="6" spans="1:13" ht="15.45" x14ac:dyDescent="0.4">
      <c r="A6" s="9"/>
      <c r="B6" s="19"/>
      <c r="C6" s="19"/>
      <c r="D6" s="8"/>
      <c r="E6" s="17"/>
      <c r="F6" s="21"/>
      <c r="G6" s="8"/>
      <c r="H6" s="19"/>
      <c r="I6" s="21"/>
      <c r="J6" s="8"/>
      <c r="K6" s="19"/>
    </row>
    <row r="7" spans="1:13" x14ac:dyDescent="0.4">
      <c r="A7" s="49" t="s">
        <v>154</v>
      </c>
      <c r="B7" s="55"/>
      <c r="C7" s="55">
        <v>2439</v>
      </c>
      <c r="D7" s="6"/>
      <c r="E7" s="68" t="s">
        <v>164</v>
      </c>
      <c r="F7" s="69">
        <v>100</v>
      </c>
      <c r="G7" s="6"/>
      <c r="H7" s="70"/>
      <c r="I7" s="71"/>
      <c r="J7" s="6"/>
      <c r="K7" s="55"/>
    </row>
    <row r="8" spans="1:13" x14ac:dyDescent="0.4">
      <c r="A8" s="49" t="s">
        <v>154</v>
      </c>
      <c r="B8" s="49"/>
      <c r="C8" s="55">
        <v>2440</v>
      </c>
      <c r="D8" s="72"/>
      <c r="E8" s="65" t="s">
        <v>165</v>
      </c>
      <c r="F8" s="69">
        <v>100</v>
      </c>
      <c r="G8" s="6"/>
      <c r="H8" s="55"/>
      <c r="I8" s="69"/>
      <c r="J8" s="6"/>
      <c r="K8" s="55"/>
    </row>
    <row r="9" spans="1:13" x14ac:dyDescent="0.4">
      <c r="A9" s="49" t="s">
        <v>154</v>
      </c>
      <c r="B9" s="49"/>
      <c r="C9" s="55">
        <v>2441</v>
      </c>
      <c r="D9" s="72"/>
      <c r="E9" s="65" t="s">
        <v>158</v>
      </c>
      <c r="F9" s="69">
        <v>100</v>
      </c>
      <c r="G9" s="6"/>
      <c r="H9" s="73"/>
      <c r="I9" s="69"/>
      <c r="J9" s="6"/>
      <c r="K9" s="55"/>
    </row>
    <row r="10" spans="1:13" x14ac:dyDescent="0.4">
      <c r="A10" s="49" t="s">
        <v>154</v>
      </c>
      <c r="B10" s="55"/>
      <c r="C10" s="55">
        <v>2442</v>
      </c>
      <c r="D10" s="6"/>
      <c r="E10" s="68" t="s">
        <v>74</v>
      </c>
      <c r="F10" s="69">
        <v>100</v>
      </c>
      <c r="G10" s="6"/>
      <c r="H10" s="69"/>
      <c r="I10" s="69"/>
      <c r="J10" s="6"/>
      <c r="K10" s="55"/>
    </row>
    <row r="11" spans="1:13" x14ac:dyDescent="0.4">
      <c r="A11" s="49" t="s">
        <v>154</v>
      </c>
      <c r="B11" s="55"/>
      <c r="C11" s="55">
        <v>2443</v>
      </c>
      <c r="D11" s="6"/>
      <c r="E11" s="68" t="s">
        <v>166</v>
      </c>
      <c r="F11" s="69">
        <v>500</v>
      </c>
      <c r="G11" s="6"/>
      <c r="H11" s="69"/>
      <c r="I11" s="69"/>
      <c r="J11" s="6"/>
      <c r="K11" s="55"/>
    </row>
    <row r="12" spans="1:13" x14ac:dyDescent="0.4">
      <c r="A12" s="49" t="s">
        <v>154</v>
      </c>
      <c r="B12" s="55"/>
      <c r="C12" s="55">
        <v>2444</v>
      </c>
      <c r="D12" s="6"/>
      <c r="E12" s="68" t="s">
        <v>41</v>
      </c>
      <c r="F12" s="74">
        <v>100</v>
      </c>
      <c r="G12" s="6"/>
      <c r="H12" s="69"/>
      <c r="I12" s="74">
        <f>SUM(F7:F12)</f>
        <v>1000</v>
      </c>
      <c r="J12" s="75"/>
      <c r="K12" s="76"/>
      <c r="L12" s="77">
        <v>1000</v>
      </c>
      <c r="M12" t="s">
        <v>168</v>
      </c>
    </row>
    <row r="13" spans="1:13" x14ac:dyDescent="0.4">
      <c r="A13" s="49" t="s">
        <v>154</v>
      </c>
      <c r="B13" s="55"/>
      <c r="C13" s="55">
        <v>2445</v>
      </c>
      <c r="D13" s="6"/>
      <c r="E13" s="68" t="s">
        <v>167</v>
      </c>
      <c r="F13" s="69">
        <v>100</v>
      </c>
      <c r="G13" s="6"/>
      <c r="H13" s="69">
        <v>100</v>
      </c>
      <c r="I13" s="69"/>
      <c r="J13" s="6"/>
      <c r="K13" s="55"/>
      <c r="L13" s="78"/>
    </row>
    <row r="14" spans="1:13" x14ac:dyDescent="0.4">
      <c r="A14" s="49" t="s">
        <v>154</v>
      </c>
      <c r="B14" s="55"/>
      <c r="C14" s="55">
        <v>2446</v>
      </c>
      <c r="D14" s="6"/>
      <c r="E14" s="68" t="s">
        <v>106</v>
      </c>
      <c r="F14" s="74">
        <v>100</v>
      </c>
      <c r="G14" s="6"/>
      <c r="H14" s="69">
        <v>100</v>
      </c>
      <c r="I14" s="69"/>
      <c r="J14" s="72"/>
      <c r="K14" s="55"/>
      <c r="L14" s="78"/>
    </row>
    <row r="15" spans="1:13" x14ac:dyDescent="0.4">
      <c r="A15" s="49" t="s">
        <v>16</v>
      </c>
      <c r="B15" s="55"/>
      <c r="C15" s="55">
        <v>2447</v>
      </c>
      <c r="D15" s="6"/>
      <c r="E15" s="68" t="s">
        <v>41</v>
      </c>
      <c r="F15" s="69">
        <v>100</v>
      </c>
      <c r="G15" s="6"/>
      <c r="H15" s="69"/>
      <c r="I15" s="69"/>
      <c r="J15" s="72"/>
      <c r="K15" s="55"/>
      <c r="L15" s="78"/>
    </row>
    <row r="16" spans="1:13" x14ac:dyDescent="0.4">
      <c r="A16" s="49" t="s">
        <v>16</v>
      </c>
      <c r="B16" s="55"/>
      <c r="C16" s="55">
        <v>2448</v>
      </c>
      <c r="D16" s="6"/>
      <c r="E16" s="68" t="s">
        <v>75</v>
      </c>
      <c r="F16" s="69">
        <v>100</v>
      </c>
      <c r="G16" s="6"/>
      <c r="H16" s="69"/>
      <c r="I16" s="69"/>
      <c r="J16" s="72"/>
      <c r="K16" s="55"/>
      <c r="L16" s="78"/>
    </row>
    <row r="17" spans="1:14" x14ac:dyDescent="0.4">
      <c r="A17" s="49" t="s">
        <v>16</v>
      </c>
      <c r="B17" s="55"/>
      <c r="C17" s="55">
        <v>2449</v>
      </c>
      <c r="D17" s="6"/>
      <c r="E17" s="68" t="s">
        <v>74</v>
      </c>
      <c r="F17" s="74">
        <v>100</v>
      </c>
      <c r="G17" s="6"/>
      <c r="H17" s="69"/>
      <c r="I17" s="69">
        <v>300</v>
      </c>
      <c r="J17" s="72"/>
      <c r="K17" s="79">
        <v>700</v>
      </c>
      <c r="L17" s="78">
        <v>1000</v>
      </c>
      <c r="M17" t="s">
        <v>169</v>
      </c>
    </row>
    <row r="18" spans="1:14" x14ac:dyDescent="0.4">
      <c r="A18" s="49">
        <v>15</v>
      </c>
      <c r="B18" s="55"/>
      <c r="C18" s="55">
        <v>2450</v>
      </c>
      <c r="D18" s="6"/>
      <c r="E18" s="68" t="s">
        <v>170</v>
      </c>
      <c r="F18" s="80"/>
      <c r="G18" s="81"/>
      <c r="H18" s="80">
        <v>2000</v>
      </c>
      <c r="I18" s="69"/>
      <c r="J18" s="72"/>
      <c r="K18" s="65"/>
      <c r="L18" s="78"/>
    </row>
    <row r="19" spans="1:14" x14ac:dyDescent="0.4">
      <c r="A19" s="49">
        <v>18</v>
      </c>
      <c r="B19" s="55"/>
      <c r="C19" s="55">
        <v>2451</v>
      </c>
      <c r="D19" s="6"/>
      <c r="E19" s="68" t="s">
        <v>171</v>
      </c>
      <c r="F19" s="80"/>
      <c r="G19" s="81"/>
      <c r="H19" s="80">
        <v>3000</v>
      </c>
      <c r="I19" s="69"/>
      <c r="J19" s="72"/>
      <c r="K19" s="65"/>
      <c r="L19" s="78"/>
    </row>
    <row r="20" spans="1:14" ht="15.9" x14ac:dyDescent="0.45">
      <c r="A20" s="49">
        <v>19</v>
      </c>
      <c r="B20" s="55"/>
      <c r="C20" s="55">
        <v>2452</v>
      </c>
      <c r="D20" s="6"/>
      <c r="E20" s="68" t="s">
        <v>172</v>
      </c>
      <c r="F20" s="69">
        <v>50</v>
      </c>
      <c r="G20" s="6"/>
      <c r="H20" s="69"/>
      <c r="I20" s="69"/>
      <c r="J20" s="72"/>
      <c r="K20" s="79"/>
      <c r="L20" s="78"/>
      <c r="N20" s="56"/>
    </row>
    <row r="21" spans="1:14" ht="15.9" x14ac:dyDescent="0.45">
      <c r="A21" s="49">
        <v>19</v>
      </c>
      <c r="B21" s="55"/>
      <c r="C21" s="55">
        <v>2453</v>
      </c>
      <c r="D21" s="6"/>
      <c r="E21" s="68" t="s">
        <v>173</v>
      </c>
      <c r="F21" s="69">
        <v>100</v>
      </c>
      <c r="G21" s="6"/>
      <c r="H21" s="69"/>
      <c r="I21" s="69"/>
      <c r="J21" s="72"/>
      <c r="K21" s="79"/>
      <c r="L21" s="78"/>
      <c r="M21" s="2"/>
      <c r="N21" s="56"/>
    </row>
    <row r="22" spans="1:14" ht="15.9" x14ac:dyDescent="0.45">
      <c r="A22" s="49">
        <v>20</v>
      </c>
      <c r="B22" s="55"/>
      <c r="C22" s="55">
        <v>2454</v>
      </c>
      <c r="D22" s="6"/>
      <c r="E22" s="68" t="s">
        <v>173</v>
      </c>
      <c r="F22" s="69">
        <v>100</v>
      </c>
      <c r="G22" s="81"/>
      <c r="H22" s="85"/>
      <c r="I22" s="69"/>
      <c r="J22" s="72"/>
      <c r="K22" s="79"/>
      <c r="L22" s="78"/>
      <c r="M22" s="2"/>
      <c r="N22" s="56"/>
    </row>
    <row r="23" spans="1:14" ht="15.9" x14ac:dyDescent="0.45">
      <c r="A23" s="49">
        <v>21</v>
      </c>
      <c r="B23" s="55"/>
      <c r="C23" s="55">
        <v>2455</v>
      </c>
      <c r="D23" s="6"/>
      <c r="E23" s="68" t="s">
        <v>172</v>
      </c>
      <c r="F23" s="69">
        <v>100</v>
      </c>
      <c r="G23" s="6"/>
      <c r="H23" s="86"/>
      <c r="I23" s="69"/>
      <c r="J23" s="72"/>
      <c r="K23" s="79"/>
      <c r="L23" s="78"/>
      <c r="M23" s="2"/>
      <c r="N23" s="56"/>
    </row>
    <row r="24" spans="1:14" ht="15.9" x14ac:dyDescent="0.45">
      <c r="A24" s="49">
        <v>21</v>
      </c>
      <c r="B24" s="55"/>
      <c r="C24" s="55">
        <v>2456</v>
      </c>
      <c r="D24" s="6"/>
      <c r="E24" s="68" t="s">
        <v>121</v>
      </c>
      <c r="F24" s="98"/>
      <c r="G24" s="6"/>
      <c r="H24" s="86"/>
      <c r="I24" s="78"/>
      <c r="J24" s="72"/>
      <c r="K24" s="79"/>
      <c r="L24" s="98">
        <v>1500</v>
      </c>
      <c r="M24" t="s">
        <v>146</v>
      </c>
      <c r="N24" s="56"/>
    </row>
    <row r="25" spans="1:14" ht="15.9" x14ac:dyDescent="0.45">
      <c r="A25" s="49">
        <v>21</v>
      </c>
      <c r="B25" s="55"/>
      <c r="C25" s="55">
        <v>2457</v>
      </c>
      <c r="D25" s="6"/>
      <c r="E25" s="68" t="s">
        <v>66</v>
      </c>
      <c r="F25" s="78">
        <v>100</v>
      </c>
      <c r="G25" s="6"/>
      <c r="H25" s="69"/>
      <c r="I25" s="78"/>
      <c r="J25" s="72"/>
      <c r="K25" s="79"/>
      <c r="L25" s="78"/>
      <c r="N25" s="56"/>
    </row>
    <row r="26" spans="1:14" ht="15.9" x14ac:dyDescent="0.45">
      <c r="A26" s="49">
        <v>21</v>
      </c>
      <c r="B26" s="55"/>
      <c r="C26" s="55">
        <v>2458</v>
      </c>
      <c r="D26" s="6"/>
      <c r="E26" s="68" t="s">
        <v>174</v>
      </c>
      <c r="F26" s="80"/>
      <c r="G26" s="81"/>
      <c r="H26" s="80">
        <v>1000</v>
      </c>
      <c r="I26" s="69"/>
      <c r="J26" s="72"/>
      <c r="K26" s="79"/>
      <c r="L26" s="78"/>
      <c r="N26" s="56"/>
    </row>
    <row r="27" spans="1:14" ht="15.9" x14ac:dyDescent="0.45">
      <c r="A27" s="49">
        <v>21</v>
      </c>
      <c r="B27" s="55"/>
      <c r="C27" s="55">
        <v>2459</v>
      </c>
      <c r="D27" s="6"/>
      <c r="E27" s="68" t="s">
        <v>149</v>
      </c>
      <c r="F27" s="80"/>
      <c r="G27" s="81"/>
      <c r="H27" s="80">
        <v>1500</v>
      </c>
      <c r="I27" s="69"/>
      <c r="J27" s="72"/>
      <c r="K27" s="79"/>
      <c r="L27" s="78"/>
      <c r="M27" s="2"/>
      <c r="N27" s="56"/>
    </row>
    <row r="28" spans="1:14" ht="15.9" x14ac:dyDescent="0.45">
      <c r="A28" s="49">
        <v>22</v>
      </c>
      <c r="B28" s="55"/>
      <c r="C28" s="55">
        <v>2460</v>
      </c>
      <c r="D28" s="6"/>
      <c r="E28" s="68" t="s">
        <v>74</v>
      </c>
      <c r="F28" s="69">
        <v>100</v>
      </c>
      <c r="G28" s="6"/>
      <c r="H28" s="100"/>
      <c r="I28" s="2"/>
      <c r="J28" s="72"/>
      <c r="K28" s="79"/>
      <c r="L28" s="99"/>
      <c r="N28" s="56"/>
    </row>
    <row r="29" spans="1:14" ht="15.9" x14ac:dyDescent="0.45">
      <c r="A29" s="49">
        <v>22</v>
      </c>
      <c r="B29" s="55"/>
      <c r="C29" s="55">
        <v>2461</v>
      </c>
      <c r="D29" s="6"/>
      <c r="E29" s="68" t="s">
        <v>75</v>
      </c>
      <c r="F29" s="69">
        <v>100</v>
      </c>
      <c r="G29" s="6"/>
      <c r="H29" s="91"/>
      <c r="I29" s="2"/>
      <c r="J29" s="72"/>
      <c r="K29" s="79"/>
      <c r="L29" s="99"/>
      <c r="N29" s="56"/>
    </row>
    <row r="30" spans="1:14" ht="15.9" x14ac:dyDescent="0.45">
      <c r="A30" s="49">
        <v>22</v>
      </c>
      <c r="B30" s="55"/>
      <c r="C30" s="55">
        <v>2462</v>
      </c>
      <c r="D30" s="6"/>
      <c r="E30" s="68" t="s">
        <v>158</v>
      </c>
      <c r="F30" s="69">
        <v>100</v>
      </c>
      <c r="G30" s="6"/>
      <c r="H30" s="91"/>
      <c r="I30" s="2"/>
      <c r="J30" s="72"/>
      <c r="K30" s="79"/>
      <c r="L30" s="99"/>
      <c r="N30" s="56"/>
    </row>
    <row r="31" spans="1:14" ht="15.9" x14ac:dyDescent="0.45">
      <c r="A31" s="49">
        <v>22</v>
      </c>
      <c r="B31" s="55"/>
      <c r="C31" s="55">
        <v>2463</v>
      </c>
      <c r="D31" s="6"/>
      <c r="E31" s="68" t="s">
        <v>118</v>
      </c>
      <c r="F31" s="69"/>
      <c r="G31" s="6"/>
      <c r="H31" s="91"/>
      <c r="I31" s="2"/>
      <c r="J31" s="72"/>
      <c r="K31" s="79"/>
      <c r="L31" s="99"/>
      <c r="N31" s="56"/>
    </row>
    <row r="32" spans="1:14" ht="15.9" x14ac:dyDescent="0.45">
      <c r="A32" s="49">
        <v>22</v>
      </c>
      <c r="B32" s="55"/>
      <c r="C32" s="55">
        <v>2464</v>
      </c>
      <c r="D32" s="6"/>
      <c r="E32" s="68" t="s">
        <v>172</v>
      </c>
      <c r="F32" s="69">
        <v>50</v>
      </c>
      <c r="G32" s="6"/>
      <c r="H32" s="91"/>
      <c r="I32" s="2"/>
      <c r="J32" s="72"/>
      <c r="K32" s="79"/>
      <c r="L32" s="99"/>
      <c r="N32" s="56"/>
    </row>
    <row r="33" spans="1:14" ht="15.9" x14ac:dyDescent="0.45">
      <c r="A33" s="49">
        <v>22</v>
      </c>
      <c r="B33" s="55"/>
      <c r="C33" s="55">
        <v>2465</v>
      </c>
      <c r="D33" s="6"/>
      <c r="E33" s="68" t="s">
        <v>175</v>
      </c>
      <c r="F33" s="69">
        <v>100</v>
      </c>
      <c r="G33" s="6"/>
      <c r="H33" s="91"/>
      <c r="I33" s="2"/>
      <c r="J33" s="72"/>
      <c r="K33" s="79"/>
      <c r="L33" s="99"/>
      <c r="N33" s="56"/>
    </row>
    <row r="34" spans="1:14" ht="15.9" x14ac:dyDescent="0.45">
      <c r="A34" s="49">
        <v>22</v>
      </c>
      <c r="B34" s="55"/>
      <c r="C34" s="55">
        <v>2466</v>
      </c>
      <c r="D34" s="6"/>
      <c r="E34" s="68" t="s">
        <v>176</v>
      </c>
      <c r="F34" s="69">
        <v>100</v>
      </c>
      <c r="G34" s="6"/>
      <c r="H34" s="91"/>
      <c r="I34" s="2"/>
      <c r="J34" s="72"/>
      <c r="K34" s="79"/>
      <c r="L34" s="99"/>
      <c r="N34" s="56"/>
    </row>
    <row r="35" spans="1:14" ht="15.9" x14ac:dyDescent="0.45">
      <c r="A35" s="49">
        <v>22</v>
      </c>
      <c r="B35" s="55"/>
      <c r="C35" s="55">
        <v>2467</v>
      </c>
      <c r="D35" s="6"/>
      <c r="E35" s="68" t="s">
        <v>177</v>
      </c>
      <c r="F35" s="69">
        <v>100</v>
      </c>
      <c r="G35" s="6"/>
      <c r="H35" s="91"/>
      <c r="I35" s="2"/>
      <c r="J35" s="72"/>
      <c r="K35" s="79"/>
      <c r="L35" s="99"/>
      <c r="N35" s="56"/>
    </row>
    <row r="36" spans="1:14" ht="15.9" x14ac:dyDescent="0.45">
      <c r="A36" s="49">
        <v>22</v>
      </c>
      <c r="B36" s="55"/>
      <c r="C36" s="55">
        <v>2468</v>
      </c>
      <c r="D36" s="6"/>
      <c r="E36" s="68" t="s">
        <v>120</v>
      </c>
      <c r="F36" s="80"/>
      <c r="G36" s="6"/>
      <c r="H36" s="91" t="s">
        <v>124</v>
      </c>
      <c r="I36" s="2"/>
      <c r="J36" s="72"/>
      <c r="K36" s="79"/>
      <c r="L36" s="99">
        <v>1500</v>
      </c>
      <c r="M36" s="1" t="s">
        <v>132</v>
      </c>
      <c r="N36" s="56"/>
    </row>
    <row r="37" spans="1:14" ht="15.9" x14ac:dyDescent="0.45">
      <c r="A37" s="49">
        <v>22</v>
      </c>
      <c r="B37" s="55"/>
      <c r="C37" s="55">
        <v>2469</v>
      </c>
      <c r="D37" s="6"/>
      <c r="E37" s="68" t="s">
        <v>178</v>
      </c>
      <c r="F37" s="69">
        <v>100</v>
      </c>
      <c r="G37" s="6"/>
      <c r="H37" s="91"/>
      <c r="I37" s="2"/>
      <c r="J37" s="72"/>
      <c r="K37" s="79"/>
      <c r="L37" s="99"/>
      <c r="N37" s="56"/>
    </row>
    <row r="38" spans="1:14" ht="15.9" x14ac:dyDescent="0.45">
      <c r="A38" s="49">
        <v>22</v>
      </c>
      <c r="B38" s="55"/>
      <c r="C38" s="55">
        <v>2470</v>
      </c>
      <c r="D38" s="6"/>
      <c r="E38" s="68" t="s">
        <v>179</v>
      </c>
      <c r="F38" s="69">
        <v>100</v>
      </c>
      <c r="G38" s="6"/>
      <c r="H38" s="92"/>
      <c r="I38" s="2"/>
      <c r="J38" s="72"/>
      <c r="K38" s="79"/>
      <c r="L38" s="2"/>
      <c r="N38" s="56"/>
    </row>
    <row r="39" spans="1:14" ht="15.9" x14ac:dyDescent="0.45">
      <c r="A39" s="49">
        <v>22</v>
      </c>
      <c r="B39" s="55"/>
      <c r="C39" s="55">
        <v>2471</v>
      </c>
      <c r="D39" s="6"/>
      <c r="E39" s="68" t="s">
        <v>180</v>
      </c>
      <c r="F39" s="69">
        <v>100</v>
      </c>
      <c r="G39" s="6"/>
      <c r="H39" s="86"/>
      <c r="I39" s="79"/>
      <c r="J39" s="72"/>
      <c r="K39" s="79"/>
      <c r="L39" s="2"/>
      <c r="M39" s="2"/>
      <c r="N39" s="56"/>
    </row>
    <row r="40" spans="1:14" ht="15.9" x14ac:dyDescent="0.45">
      <c r="A40" s="49">
        <v>22</v>
      </c>
      <c r="B40" s="55"/>
      <c r="C40" s="55">
        <v>2472</v>
      </c>
      <c r="D40" s="6"/>
      <c r="E40" s="68" t="s">
        <v>41</v>
      </c>
      <c r="F40" s="69">
        <v>100</v>
      </c>
      <c r="G40" s="6"/>
      <c r="H40" s="86"/>
      <c r="I40" s="79"/>
      <c r="J40" s="72"/>
      <c r="K40" s="79"/>
      <c r="L40" s="2"/>
      <c r="M40" s="2"/>
      <c r="N40" s="56"/>
    </row>
    <row r="41" spans="1:14" ht="15.9" x14ac:dyDescent="0.45">
      <c r="A41" s="49">
        <v>22</v>
      </c>
      <c r="B41" s="55"/>
      <c r="C41" s="55">
        <v>2473</v>
      </c>
      <c r="D41" s="6"/>
      <c r="E41" s="68" t="s">
        <v>181</v>
      </c>
      <c r="F41" s="69">
        <v>100</v>
      </c>
      <c r="G41" s="6"/>
      <c r="H41" s="86"/>
      <c r="I41" s="79"/>
      <c r="J41" s="72"/>
      <c r="K41" s="79"/>
      <c r="L41" s="2"/>
      <c r="M41" s="2"/>
      <c r="N41" s="56"/>
    </row>
    <row r="42" spans="1:14" ht="15.9" x14ac:dyDescent="0.45">
      <c r="A42" s="49">
        <v>22</v>
      </c>
      <c r="B42" s="55"/>
      <c r="C42" s="55">
        <v>2474</v>
      </c>
      <c r="D42" s="6"/>
      <c r="E42" s="68" t="s">
        <v>167</v>
      </c>
      <c r="F42" s="69">
        <v>100</v>
      </c>
      <c r="G42" s="81"/>
      <c r="H42" s="85"/>
      <c r="I42" s="69"/>
      <c r="J42" s="72"/>
      <c r="K42" s="79"/>
      <c r="L42" s="2"/>
      <c r="M42" s="2"/>
      <c r="N42" s="56"/>
    </row>
    <row r="43" spans="1:14" ht="15.9" x14ac:dyDescent="0.45">
      <c r="A43" s="49">
        <v>22</v>
      </c>
      <c r="B43" s="55"/>
      <c r="C43" s="55">
        <v>2475</v>
      </c>
      <c r="D43" s="6"/>
      <c r="E43" s="68" t="s">
        <v>178</v>
      </c>
      <c r="F43" s="74">
        <v>200</v>
      </c>
      <c r="G43" s="6"/>
      <c r="H43" s="82"/>
      <c r="I43" s="71"/>
      <c r="J43" s="72"/>
      <c r="K43" s="79"/>
      <c r="L43" s="2"/>
      <c r="N43" s="56"/>
    </row>
    <row r="44" spans="1:14" ht="15.9" x14ac:dyDescent="0.45">
      <c r="A44" s="49"/>
      <c r="B44" s="55"/>
      <c r="C44" s="55"/>
      <c r="D44" s="6"/>
      <c r="E44" s="68"/>
      <c r="F44" s="80">
        <f>SUM(F19:F43)</f>
        <v>1900</v>
      </c>
      <c r="G44" s="6"/>
      <c r="H44" s="102"/>
      <c r="I44" s="71"/>
      <c r="J44" s="72"/>
      <c r="K44" s="79"/>
      <c r="L44" s="2"/>
      <c r="N44" s="56"/>
    </row>
    <row r="45" spans="1:14" ht="15.9" x14ac:dyDescent="0.45">
      <c r="A45" s="49" t="s">
        <v>160</v>
      </c>
      <c r="B45" s="55"/>
      <c r="C45" s="55">
        <v>2476</v>
      </c>
      <c r="D45" s="6"/>
      <c r="E45" s="68" t="s">
        <v>182</v>
      </c>
      <c r="F45" s="69">
        <v>200</v>
      </c>
      <c r="G45" s="6"/>
      <c r="H45" s="69"/>
      <c r="I45" s="69"/>
      <c r="J45" s="72"/>
      <c r="K45" s="79"/>
      <c r="L45" s="78"/>
      <c r="M45" s="2"/>
      <c r="N45" s="56"/>
    </row>
    <row r="46" spans="1:14" x14ac:dyDescent="0.4">
      <c r="A46" s="49" t="s">
        <v>160</v>
      </c>
      <c r="B46" s="55"/>
      <c r="C46" s="55">
        <v>2477</v>
      </c>
      <c r="D46" s="6"/>
      <c r="E46" s="68" t="s">
        <v>129</v>
      </c>
      <c r="F46" s="69">
        <v>100</v>
      </c>
      <c r="G46" s="6"/>
      <c r="H46" s="69"/>
      <c r="I46" s="69"/>
      <c r="J46" s="72"/>
      <c r="K46" s="65"/>
      <c r="L46" s="78"/>
    </row>
    <row r="47" spans="1:14" x14ac:dyDescent="0.4">
      <c r="A47" s="49" t="s">
        <v>160</v>
      </c>
      <c r="B47" s="55"/>
      <c r="C47" s="55">
        <v>2478</v>
      </c>
      <c r="D47" s="6"/>
      <c r="E47" s="68" t="s">
        <v>23</v>
      </c>
      <c r="F47" s="69">
        <v>200</v>
      </c>
      <c r="G47" s="6"/>
      <c r="H47" s="69"/>
      <c r="I47" s="69"/>
      <c r="J47" s="72"/>
      <c r="K47" s="79"/>
      <c r="L47" s="78"/>
    </row>
    <row r="48" spans="1:14" x14ac:dyDescent="0.4">
      <c r="A48" s="49" t="s">
        <v>160</v>
      </c>
      <c r="B48" s="55"/>
      <c r="C48" s="55">
        <v>2479</v>
      </c>
      <c r="D48" s="6"/>
      <c r="E48" s="68" t="s">
        <v>158</v>
      </c>
      <c r="F48" s="69">
        <v>100</v>
      </c>
      <c r="G48" s="6"/>
      <c r="H48" s="69"/>
      <c r="I48" s="69"/>
      <c r="J48" s="72"/>
      <c r="K48" s="79"/>
      <c r="L48" s="78"/>
    </row>
    <row r="49" spans="1:13" x14ac:dyDescent="0.4">
      <c r="A49" s="49" t="s">
        <v>160</v>
      </c>
      <c r="B49" s="55"/>
      <c r="C49" s="55">
        <v>2480</v>
      </c>
      <c r="D49" s="6"/>
      <c r="E49" s="68" t="s">
        <v>41</v>
      </c>
      <c r="F49" s="74">
        <v>100</v>
      </c>
      <c r="G49" s="6"/>
      <c r="H49" s="69"/>
      <c r="I49" s="74">
        <v>700</v>
      </c>
      <c r="J49" s="72"/>
      <c r="K49" s="67">
        <v>200</v>
      </c>
      <c r="L49" s="77">
        <v>1000</v>
      </c>
      <c r="M49" s="1" t="s">
        <v>183</v>
      </c>
    </row>
    <row r="50" spans="1:13" x14ac:dyDescent="0.4">
      <c r="A50" s="49"/>
      <c r="B50" s="6"/>
      <c r="C50" s="55"/>
      <c r="D50" s="6"/>
      <c r="E50" s="81" t="s">
        <v>147</v>
      </c>
      <c r="F50" s="98"/>
      <c r="G50" s="83"/>
      <c r="H50" s="101">
        <f>SUM(H16:H47)</f>
        <v>7500</v>
      </c>
      <c r="I50" s="84"/>
      <c r="J50" s="6"/>
      <c r="K50" s="83"/>
    </row>
    <row r="51" spans="1:13" x14ac:dyDescent="0.4">
      <c r="A51" s="49"/>
      <c r="B51" s="6"/>
      <c r="C51" s="55"/>
      <c r="D51" s="6"/>
      <c r="E51" s="6"/>
      <c r="F51" s="78"/>
      <c r="G51" s="83"/>
      <c r="H51" s="79"/>
      <c r="I51" s="79"/>
      <c r="J51" s="6"/>
      <c r="K51" s="83"/>
    </row>
    <row r="52" spans="1:13" ht="15.45" x14ac:dyDescent="0.4">
      <c r="A52" s="8"/>
      <c r="B52" s="8"/>
      <c r="C52" s="8" t="s">
        <v>13</v>
      </c>
      <c r="D52" s="8"/>
      <c r="E52" s="8"/>
      <c r="F52" s="8"/>
      <c r="G52" s="8"/>
      <c r="H52" s="8"/>
      <c r="I52" s="8"/>
      <c r="K52" s="10"/>
    </row>
    <row r="53" spans="1:13" ht="15.45" x14ac:dyDescent="0.4">
      <c r="A53" s="8"/>
      <c r="B53" s="8"/>
      <c r="C53" s="8"/>
      <c r="D53" s="8"/>
      <c r="E53" s="22"/>
      <c r="F53" s="8"/>
      <c r="G53" s="8"/>
      <c r="H53" s="8"/>
      <c r="I53" s="8"/>
    </row>
    <row r="54" spans="1:13" ht="15.45" x14ac:dyDescent="0.4">
      <c r="A54" s="8"/>
      <c r="B54" s="8"/>
      <c r="C54" s="8"/>
      <c r="D54" s="8"/>
      <c r="E54" s="19"/>
      <c r="F54" s="8"/>
      <c r="G54" s="8"/>
      <c r="H54" s="8"/>
      <c r="I54" s="8"/>
    </row>
    <row r="55" spans="1:13" ht="15.45" x14ac:dyDescent="0.4">
      <c r="A55" s="22" t="s">
        <v>51</v>
      </c>
      <c r="B55" s="8"/>
      <c r="C55" s="8"/>
      <c r="D55" s="8"/>
      <c r="E55" s="8"/>
      <c r="F55" s="19" t="s">
        <v>122</v>
      </c>
      <c r="G55" s="8"/>
      <c r="H55" s="8"/>
      <c r="I55" s="20" t="s">
        <v>123</v>
      </c>
    </row>
    <row r="56" spans="1:13" ht="15.45" x14ac:dyDescent="0.4">
      <c r="A56" s="8" t="s">
        <v>67</v>
      </c>
      <c r="B56" s="8"/>
      <c r="C56" s="9" t="s">
        <v>154</v>
      </c>
      <c r="D56" s="8"/>
      <c r="E56" s="8"/>
      <c r="F56" s="8"/>
      <c r="G56" s="8"/>
      <c r="H56" s="8"/>
      <c r="I56" s="83">
        <v>1000</v>
      </c>
    </row>
    <row r="57" spans="1:13" ht="15.45" x14ac:dyDescent="0.4">
      <c r="A57" s="8"/>
      <c r="B57" s="8"/>
      <c r="C57" s="9" t="s">
        <v>16</v>
      </c>
      <c r="D57" s="8"/>
      <c r="E57" s="8"/>
      <c r="F57" s="8"/>
      <c r="G57" s="8"/>
      <c r="H57" s="8"/>
      <c r="I57" s="83">
        <v>1000</v>
      </c>
    </row>
    <row r="58" spans="1:13" ht="15.45" x14ac:dyDescent="0.4">
      <c r="A58" s="17"/>
      <c r="B58" s="8"/>
      <c r="C58" s="19">
        <v>15</v>
      </c>
      <c r="D58" s="8"/>
      <c r="E58" s="8" t="s">
        <v>184</v>
      </c>
      <c r="F58" s="8"/>
      <c r="G58" s="8"/>
      <c r="H58" s="10"/>
      <c r="I58" s="83"/>
    </row>
    <row r="59" spans="1:13" ht="15.45" x14ac:dyDescent="0.4">
      <c r="A59" s="66" t="s">
        <v>125</v>
      </c>
      <c r="C59" s="49">
        <v>19</v>
      </c>
      <c r="E59" s="8" t="s">
        <v>119</v>
      </c>
      <c r="F59" s="10" t="s">
        <v>185</v>
      </c>
      <c r="H59" s="10"/>
      <c r="I59" s="78">
        <v>1500</v>
      </c>
      <c r="K59" t="s">
        <v>131</v>
      </c>
    </row>
    <row r="60" spans="1:13" ht="15.45" x14ac:dyDescent="0.4">
      <c r="A60" s="17" t="s">
        <v>126</v>
      </c>
      <c r="C60" s="49">
        <v>20</v>
      </c>
      <c r="E60" s="8" t="s">
        <v>119</v>
      </c>
      <c r="F60" s="8" t="s">
        <v>186</v>
      </c>
      <c r="G60" s="8"/>
      <c r="H60" s="10"/>
      <c r="I60" s="78">
        <v>1500</v>
      </c>
      <c r="K60" t="s">
        <v>131</v>
      </c>
    </row>
    <row r="61" spans="1:13" ht="15.9" x14ac:dyDescent="0.45">
      <c r="A61" s="17" t="s">
        <v>127</v>
      </c>
      <c r="C61" s="49">
        <v>22</v>
      </c>
      <c r="E61" s="8" t="s">
        <v>119</v>
      </c>
      <c r="F61" s="56" t="s">
        <v>121</v>
      </c>
      <c r="H61" s="10"/>
      <c r="I61" s="83">
        <v>1500</v>
      </c>
    </row>
    <row r="62" spans="1:13" ht="15.45" x14ac:dyDescent="0.4">
      <c r="A62" s="33" t="s">
        <v>128</v>
      </c>
      <c r="C62" s="49">
        <v>23</v>
      </c>
      <c r="E62" s="8" t="s">
        <v>42</v>
      </c>
      <c r="F62" s="8" t="s">
        <v>120</v>
      </c>
      <c r="I62" s="83">
        <v>1500</v>
      </c>
    </row>
  </sheetData>
  <pageMargins left="0.2" right="0.2" top="0.5" bottom="0.25" header="0.3" footer="0.3"/>
  <pageSetup paperSize="5" orientation="portrait" horizontalDpi="4294967293" verticalDpi="0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N47"/>
  <sheetViews>
    <sheetView topLeftCell="A16" workbookViewId="0">
      <selection activeCell="F9" sqref="F9"/>
    </sheetView>
  </sheetViews>
  <sheetFormatPr defaultRowHeight="14.6" x14ac:dyDescent="0.4"/>
  <cols>
    <col min="2" max="2" width="0.84375" customWidth="1"/>
    <col min="3" max="3" width="8.3046875" customWidth="1"/>
    <col min="4" max="4" width="0.69140625" customWidth="1"/>
    <col min="5" max="5" width="17.69140625" customWidth="1"/>
    <col min="6" max="6" width="11.07421875" customWidth="1"/>
    <col min="7" max="7" width="1" customWidth="1"/>
    <col min="8" max="8" width="7.07421875" customWidth="1"/>
    <col min="9" max="9" width="0.84375" customWidth="1"/>
    <col min="10" max="10" width="10.53515625" customWidth="1"/>
    <col min="11" max="11" width="1" customWidth="1"/>
    <col min="12" max="12" width="10.3046875" bestFit="1" customWidth="1"/>
    <col min="13" max="13" width="10.53515625" bestFit="1" customWidth="1"/>
  </cols>
  <sheetData>
    <row r="1" spans="1:14" ht="15.45" x14ac:dyDescent="0.4">
      <c r="A1" s="8"/>
      <c r="B1" s="8"/>
      <c r="C1" s="8"/>
      <c r="D1" s="8" t="s">
        <v>0</v>
      </c>
      <c r="E1" s="8"/>
      <c r="F1" s="8"/>
      <c r="G1" s="8"/>
      <c r="H1" s="8"/>
      <c r="I1" s="8"/>
      <c r="J1" s="8"/>
      <c r="K1" s="8"/>
    </row>
    <row r="2" spans="1:14" ht="15.45" x14ac:dyDescent="0.4">
      <c r="A2" s="8"/>
      <c r="B2" s="8"/>
      <c r="C2" s="8"/>
      <c r="D2" s="8" t="s">
        <v>18</v>
      </c>
      <c r="E2" s="8" t="s">
        <v>40</v>
      </c>
      <c r="F2" s="8"/>
      <c r="G2" s="8"/>
      <c r="H2" s="8"/>
      <c r="I2" s="8"/>
      <c r="J2" s="8"/>
      <c r="K2" s="8"/>
    </row>
    <row r="3" spans="1:14" ht="15.45" x14ac:dyDescent="0.4">
      <c r="A3" s="8"/>
      <c r="B3" s="8"/>
      <c r="C3" s="8"/>
      <c r="D3" s="18"/>
      <c r="E3" s="13" t="s">
        <v>243</v>
      </c>
      <c r="F3" s="8"/>
      <c r="G3" s="8"/>
      <c r="H3" s="8"/>
      <c r="I3" s="8"/>
      <c r="J3" s="8"/>
      <c r="K3" s="8"/>
    </row>
    <row r="4" spans="1:14" ht="15.45" x14ac:dyDescent="0.4">
      <c r="A4" s="8"/>
      <c r="B4" s="8"/>
      <c r="C4" s="8"/>
      <c r="D4" s="8"/>
      <c r="E4" s="8"/>
      <c r="F4" s="8"/>
      <c r="G4" s="8"/>
      <c r="H4" s="8"/>
      <c r="I4" s="8"/>
      <c r="J4" s="8"/>
      <c r="K4" s="8"/>
    </row>
    <row r="5" spans="1:14" ht="15.45" x14ac:dyDescent="0.4">
      <c r="A5" s="8"/>
      <c r="B5" s="8"/>
      <c r="C5" s="8"/>
      <c r="D5" s="8"/>
      <c r="E5" s="8"/>
      <c r="F5" s="19" t="s">
        <v>12</v>
      </c>
      <c r="G5" s="8"/>
      <c r="H5" s="8"/>
      <c r="I5" s="8"/>
      <c r="J5" s="8" t="s">
        <v>63</v>
      </c>
      <c r="K5" s="8"/>
      <c r="L5" s="8" t="s">
        <v>63</v>
      </c>
      <c r="M5" s="19" t="s">
        <v>65</v>
      </c>
    </row>
    <row r="6" spans="1:14" ht="15.45" x14ac:dyDescent="0.4">
      <c r="A6" s="20" t="s">
        <v>5</v>
      </c>
      <c r="B6" s="19"/>
      <c r="C6" s="20" t="s">
        <v>6</v>
      </c>
      <c r="D6" s="8"/>
      <c r="E6" s="20" t="s">
        <v>1</v>
      </c>
      <c r="F6" s="37" t="s">
        <v>3</v>
      </c>
      <c r="G6" s="8"/>
      <c r="H6" s="20" t="s">
        <v>4</v>
      </c>
      <c r="I6" s="8"/>
      <c r="J6" s="53" t="s">
        <v>114</v>
      </c>
      <c r="K6" s="17"/>
      <c r="L6" s="53" t="s">
        <v>64</v>
      </c>
      <c r="M6" s="20" t="s">
        <v>2</v>
      </c>
    </row>
    <row r="7" spans="1:14" ht="15.45" x14ac:dyDescent="0.4">
      <c r="A7" s="9"/>
      <c r="B7" s="19"/>
      <c r="C7" s="19"/>
      <c r="D7" s="8"/>
      <c r="E7" s="17"/>
      <c r="F7" s="21"/>
      <c r="G7" s="8"/>
      <c r="H7" s="19"/>
      <c r="I7" s="8"/>
      <c r="J7" s="19"/>
      <c r="K7" s="19"/>
      <c r="L7" s="8"/>
    </row>
    <row r="8" spans="1:14" ht="15.9" x14ac:dyDescent="0.45">
      <c r="A8" s="28" t="s">
        <v>130</v>
      </c>
      <c r="B8" s="19"/>
      <c r="C8" s="19">
        <v>2216</v>
      </c>
      <c r="D8" s="8"/>
      <c r="E8" s="17" t="s">
        <v>8</v>
      </c>
      <c r="F8" s="21">
        <v>100</v>
      </c>
      <c r="G8" s="8"/>
      <c r="H8" s="34"/>
      <c r="I8" s="8"/>
      <c r="J8" s="19"/>
      <c r="K8" s="19"/>
      <c r="L8" s="57"/>
      <c r="M8" s="56"/>
    </row>
    <row r="9" spans="1:14" ht="15.9" x14ac:dyDescent="0.45">
      <c r="A9" s="28" t="s">
        <v>130</v>
      </c>
      <c r="B9" s="19"/>
      <c r="C9" s="19">
        <v>2217</v>
      </c>
      <c r="D9" s="8"/>
      <c r="E9" s="17" t="s">
        <v>41</v>
      </c>
      <c r="F9" s="21">
        <v>100</v>
      </c>
      <c r="G9" s="8"/>
      <c r="H9" s="34"/>
      <c r="I9" s="8"/>
      <c r="J9" s="21"/>
      <c r="K9" s="21"/>
      <c r="L9" s="57"/>
      <c r="M9" s="56"/>
    </row>
    <row r="10" spans="1:14" ht="15.9" x14ac:dyDescent="0.45">
      <c r="A10" s="28" t="s">
        <v>130</v>
      </c>
      <c r="B10" s="19"/>
      <c r="C10" s="19">
        <v>2218</v>
      </c>
      <c r="D10" s="8"/>
      <c r="E10" s="17" t="s">
        <v>85</v>
      </c>
      <c r="F10" s="21">
        <v>100</v>
      </c>
      <c r="G10" s="8"/>
      <c r="H10" s="21"/>
      <c r="I10" s="8"/>
      <c r="J10" s="19"/>
      <c r="K10" s="19"/>
      <c r="L10" s="57"/>
      <c r="M10" s="56"/>
    </row>
    <row r="11" spans="1:14" ht="15.9" x14ac:dyDescent="0.45">
      <c r="A11" s="28" t="s">
        <v>130</v>
      </c>
      <c r="B11" s="19"/>
      <c r="C11" s="19">
        <v>2219</v>
      </c>
      <c r="D11" s="8"/>
      <c r="E11" s="17" t="s">
        <v>44</v>
      </c>
      <c r="F11" s="42">
        <v>100</v>
      </c>
      <c r="G11" s="8"/>
      <c r="H11" s="21"/>
      <c r="I11" s="8"/>
      <c r="J11" s="21">
        <v>400</v>
      </c>
      <c r="K11" s="21"/>
      <c r="L11" s="4">
        <v>600</v>
      </c>
      <c r="M11" s="4">
        <v>1000</v>
      </c>
      <c r="N11" s="87">
        <v>44871</v>
      </c>
    </row>
    <row r="12" spans="1:14" ht="15.9" x14ac:dyDescent="0.45">
      <c r="A12" s="28" t="s">
        <v>133</v>
      </c>
      <c r="B12" s="19"/>
      <c r="C12" s="19">
        <v>2220</v>
      </c>
      <c r="D12" s="8"/>
      <c r="E12" s="17" t="s">
        <v>85</v>
      </c>
      <c r="F12" s="21">
        <v>100</v>
      </c>
      <c r="G12" s="8"/>
      <c r="H12" s="21"/>
      <c r="I12" s="8"/>
      <c r="J12" s="21"/>
      <c r="K12" s="21"/>
      <c r="L12" s="57"/>
      <c r="M12" s="4"/>
    </row>
    <row r="13" spans="1:14" ht="15.9" x14ac:dyDescent="0.45">
      <c r="A13" s="28" t="s">
        <v>133</v>
      </c>
      <c r="B13" s="19"/>
      <c r="C13" s="19">
        <v>2221</v>
      </c>
      <c r="D13" s="8"/>
      <c r="E13" s="17" t="s">
        <v>41</v>
      </c>
      <c r="F13" s="21">
        <v>100</v>
      </c>
      <c r="G13" s="8"/>
      <c r="H13" s="21"/>
      <c r="I13" s="8"/>
      <c r="J13" s="21"/>
      <c r="K13" s="21"/>
      <c r="L13" s="57"/>
      <c r="M13" s="4"/>
    </row>
    <row r="14" spans="1:14" ht="15.9" x14ac:dyDescent="0.45">
      <c r="A14" s="28" t="s">
        <v>134</v>
      </c>
      <c r="B14" s="8"/>
      <c r="C14" s="19">
        <v>2222</v>
      </c>
      <c r="D14" s="8"/>
      <c r="E14" s="8" t="s">
        <v>135</v>
      </c>
      <c r="F14" s="43">
        <v>250</v>
      </c>
      <c r="G14" s="10"/>
      <c r="H14" s="14"/>
      <c r="I14" s="11"/>
      <c r="J14" s="14">
        <v>450</v>
      </c>
      <c r="K14" s="14"/>
      <c r="L14" s="4">
        <v>550</v>
      </c>
      <c r="M14" s="4">
        <v>1000</v>
      </c>
      <c r="N14" s="87">
        <v>44878</v>
      </c>
    </row>
    <row r="15" spans="1:14" ht="15.9" x14ac:dyDescent="0.45">
      <c r="A15" s="28" t="s">
        <v>136</v>
      </c>
      <c r="B15" s="8"/>
      <c r="C15" s="19">
        <v>2223</v>
      </c>
      <c r="D15" s="8"/>
      <c r="E15" s="8" t="s">
        <v>10</v>
      </c>
      <c r="F15" s="88">
        <v>1000</v>
      </c>
      <c r="G15" s="10"/>
      <c r="H15" s="14"/>
      <c r="I15" s="11"/>
      <c r="J15" s="14">
        <v>1000</v>
      </c>
      <c r="K15" s="14"/>
      <c r="L15" s="57"/>
      <c r="M15" s="4">
        <v>1000</v>
      </c>
      <c r="N15" s="87">
        <v>44882</v>
      </c>
    </row>
    <row r="16" spans="1:14" ht="15.9" x14ac:dyDescent="0.45">
      <c r="A16" s="28" t="s">
        <v>134</v>
      </c>
      <c r="B16" s="8"/>
      <c r="C16" s="19">
        <v>2224</v>
      </c>
      <c r="D16" s="8"/>
      <c r="E16" s="8" t="s">
        <v>137</v>
      </c>
      <c r="F16" s="10">
        <v>100</v>
      </c>
      <c r="G16" s="10"/>
      <c r="H16" s="14"/>
      <c r="I16" s="11"/>
      <c r="J16" s="14"/>
      <c r="K16" s="14"/>
      <c r="L16" s="57"/>
      <c r="M16" s="4"/>
    </row>
    <row r="17" spans="1:14" ht="15.9" x14ac:dyDescent="0.45">
      <c r="A17" s="28" t="s">
        <v>138</v>
      </c>
      <c r="B17" s="13"/>
      <c r="C17" s="19">
        <v>2225</v>
      </c>
      <c r="D17" s="13"/>
      <c r="E17" s="8" t="s">
        <v>41</v>
      </c>
      <c r="F17" s="10">
        <v>100</v>
      </c>
      <c r="G17" s="10"/>
      <c r="H17" s="14"/>
      <c r="I17" s="11"/>
      <c r="J17" s="14"/>
      <c r="K17" s="14"/>
      <c r="L17" s="57"/>
      <c r="M17" s="4"/>
    </row>
    <row r="18" spans="1:14" ht="15.9" x14ac:dyDescent="0.45">
      <c r="A18" s="28" t="s">
        <v>138</v>
      </c>
      <c r="B18" s="8"/>
      <c r="C18" s="19">
        <v>2226</v>
      </c>
      <c r="D18" s="8"/>
      <c r="E18" s="8" t="s">
        <v>14</v>
      </c>
      <c r="F18" s="10">
        <v>100</v>
      </c>
      <c r="G18" s="10"/>
      <c r="H18" s="14"/>
      <c r="I18" s="11"/>
      <c r="J18" s="40"/>
      <c r="K18" s="14"/>
      <c r="L18" s="57"/>
      <c r="M18" s="4"/>
    </row>
    <row r="19" spans="1:14" ht="15.9" x14ac:dyDescent="0.45">
      <c r="A19" s="28" t="s">
        <v>138</v>
      </c>
      <c r="B19" s="8"/>
      <c r="C19" s="19">
        <v>2227</v>
      </c>
      <c r="D19" s="8"/>
      <c r="E19" s="8" t="s">
        <v>135</v>
      </c>
      <c r="F19" s="10">
        <v>50</v>
      </c>
      <c r="G19" s="10"/>
      <c r="H19" s="14"/>
      <c r="I19" s="11"/>
      <c r="J19" s="40"/>
      <c r="K19" s="40"/>
      <c r="L19" s="57"/>
      <c r="M19" s="4"/>
    </row>
    <row r="20" spans="1:14" ht="15.9" x14ac:dyDescent="0.45">
      <c r="A20" s="28" t="s">
        <v>138</v>
      </c>
      <c r="B20" s="8"/>
      <c r="C20" s="19">
        <v>2228</v>
      </c>
      <c r="D20" s="8"/>
      <c r="E20" s="8" t="s">
        <v>110</v>
      </c>
      <c r="F20" s="10">
        <v>50</v>
      </c>
      <c r="G20" s="10"/>
      <c r="H20" s="14"/>
      <c r="I20" s="11"/>
      <c r="J20" s="40"/>
      <c r="K20" s="14"/>
      <c r="L20" s="57"/>
      <c r="M20" s="4"/>
    </row>
    <row r="21" spans="1:14" ht="15.9" x14ac:dyDescent="0.45">
      <c r="A21" s="28" t="s">
        <v>138</v>
      </c>
      <c r="B21" s="8"/>
      <c r="C21" s="19">
        <v>2229</v>
      </c>
      <c r="D21" s="8"/>
      <c r="E21" s="8"/>
      <c r="F21" s="10">
        <v>50</v>
      </c>
      <c r="G21" s="10"/>
      <c r="H21" s="14"/>
      <c r="I21" s="11"/>
      <c r="J21" s="12"/>
      <c r="K21" s="12"/>
      <c r="L21" s="58"/>
      <c r="M21" s="56"/>
    </row>
    <row r="22" spans="1:14" ht="15.9" x14ac:dyDescent="0.45">
      <c r="A22" s="28" t="s">
        <v>138</v>
      </c>
      <c r="B22" s="8"/>
      <c r="C22" s="19">
        <v>2230</v>
      </c>
      <c r="D22" s="8"/>
      <c r="E22" s="8" t="s">
        <v>33</v>
      </c>
      <c r="F22" s="43">
        <v>100</v>
      </c>
      <c r="G22" s="10"/>
      <c r="H22" s="14"/>
      <c r="I22" s="11"/>
      <c r="J22" s="14">
        <f>SUM(F16:F22)</f>
        <v>550</v>
      </c>
      <c r="K22" s="14"/>
      <c r="L22" s="4">
        <v>450</v>
      </c>
      <c r="M22" s="4">
        <v>1000</v>
      </c>
      <c r="N22" s="87">
        <v>44883</v>
      </c>
    </row>
    <row r="23" spans="1:14" ht="15.9" x14ac:dyDescent="0.45">
      <c r="A23" s="28" t="s">
        <v>138</v>
      </c>
      <c r="B23" s="8"/>
      <c r="C23" s="19">
        <v>2231</v>
      </c>
      <c r="D23" s="8"/>
      <c r="E23" s="8" t="s">
        <v>139</v>
      </c>
      <c r="F23" s="10">
        <v>500</v>
      </c>
      <c r="G23" s="10"/>
      <c r="H23" s="14"/>
      <c r="I23" s="11"/>
      <c r="J23" s="14"/>
      <c r="K23" s="14"/>
      <c r="L23" s="4"/>
      <c r="M23" s="4"/>
    </row>
    <row r="24" spans="1:14" ht="15.9" x14ac:dyDescent="0.45">
      <c r="A24" s="28" t="s">
        <v>138</v>
      </c>
      <c r="B24" s="8"/>
      <c r="C24" s="20">
        <v>2232</v>
      </c>
      <c r="D24" s="8"/>
      <c r="E24" s="8" t="s">
        <v>22</v>
      </c>
      <c r="F24" s="43">
        <v>500</v>
      </c>
      <c r="G24" s="10"/>
      <c r="H24" s="14"/>
      <c r="I24" s="11"/>
      <c r="J24" s="14">
        <v>1000</v>
      </c>
      <c r="K24" s="14"/>
      <c r="L24" s="4"/>
      <c r="M24" s="4">
        <v>1000</v>
      </c>
      <c r="N24" s="87">
        <v>44884</v>
      </c>
    </row>
    <row r="25" spans="1:14" ht="15.9" x14ac:dyDescent="0.45">
      <c r="A25" s="93" t="s">
        <v>153</v>
      </c>
      <c r="B25" s="13"/>
      <c r="C25" s="50">
        <v>2251</v>
      </c>
      <c r="D25" s="8"/>
      <c r="E25" s="8"/>
      <c r="F25" s="41"/>
      <c r="G25" s="10"/>
      <c r="H25" s="14"/>
      <c r="I25" s="11"/>
      <c r="J25" s="14"/>
      <c r="K25" s="14"/>
      <c r="L25" s="4"/>
      <c r="M25" s="4"/>
      <c r="N25" s="87"/>
    </row>
    <row r="26" spans="1:14" ht="15.9" x14ac:dyDescent="0.45">
      <c r="A26" s="28" t="s">
        <v>144</v>
      </c>
      <c r="B26" s="8"/>
      <c r="C26" s="19">
        <v>2252</v>
      </c>
      <c r="D26" s="8"/>
      <c r="E26" s="8" t="s">
        <v>20</v>
      </c>
      <c r="F26" s="41">
        <v>100</v>
      </c>
      <c r="G26" s="10"/>
      <c r="H26" s="14"/>
      <c r="I26" s="11"/>
      <c r="J26" s="14"/>
      <c r="K26" s="14"/>
      <c r="L26" s="4"/>
      <c r="M26" s="4"/>
      <c r="N26" s="87"/>
    </row>
    <row r="27" spans="1:14" ht="15.9" x14ac:dyDescent="0.45">
      <c r="A27" s="28" t="s">
        <v>144</v>
      </c>
      <c r="B27" s="8"/>
      <c r="C27" s="19">
        <v>2253</v>
      </c>
      <c r="D27" s="8"/>
      <c r="E27" s="8" t="s">
        <v>74</v>
      </c>
      <c r="F27" s="41">
        <v>100</v>
      </c>
      <c r="G27" s="10"/>
      <c r="H27" s="14"/>
      <c r="I27" s="11"/>
      <c r="J27" s="14"/>
      <c r="K27" s="14"/>
      <c r="L27" s="4"/>
      <c r="M27" s="4"/>
      <c r="N27" s="87"/>
    </row>
    <row r="28" spans="1:14" ht="15.9" x14ac:dyDescent="0.45">
      <c r="A28" s="28" t="s">
        <v>144</v>
      </c>
      <c r="B28" s="8"/>
      <c r="C28" s="19">
        <v>2254</v>
      </c>
      <c r="D28" s="8"/>
      <c r="E28" s="8" t="s">
        <v>85</v>
      </c>
      <c r="F28" s="41">
        <v>100</v>
      </c>
      <c r="G28" s="10"/>
      <c r="H28" s="14"/>
      <c r="I28" s="11"/>
      <c r="J28" s="14"/>
      <c r="K28" s="14"/>
      <c r="L28" s="4"/>
      <c r="M28" s="4"/>
      <c r="N28" s="87"/>
    </row>
    <row r="29" spans="1:14" ht="15.45" x14ac:dyDescent="0.4">
      <c r="A29" s="28" t="s">
        <v>144</v>
      </c>
      <c r="B29" s="8"/>
      <c r="C29" s="19">
        <v>2255</v>
      </c>
      <c r="D29" s="8"/>
      <c r="E29" s="8" t="s">
        <v>145</v>
      </c>
      <c r="F29" s="10">
        <v>200</v>
      </c>
      <c r="G29" s="10"/>
      <c r="H29" s="14"/>
      <c r="I29" s="11"/>
      <c r="J29" s="12"/>
      <c r="K29" s="12"/>
    </row>
    <row r="30" spans="1:14" ht="15.45" x14ac:dyDescent="0.4">
      <c r="A30" s="28" t="s">
        <v>144</v>
      </c>
      <c r="B30" s="8"/>
      <c r="C30" s="19"/>
      <c r="D30" s="8"/>
      <c r="E30" s="8"/>
      <c r="F30" s="43">
        <v>90</v>
      </c>
      <c r="G30" s="10"/>
      <c r="H30" s="14"/>
      <c r="I30" s="11"/>
      <c r="J30" s="90">
        <f>SUM(F26:F30)</f>
        <v>590</v>
      </c>
      <c r="K30" s="12"/>
      <c r="L30" s="43">
        <v>410</v>
      </c>
      <c r="M30" s="43">
        <v>1000</v>
      </c>
      <c r="N30" s="87">
        <v>44892</v>
      </c>
    </row>
    <row r="31" spans="1:14" ht="15.45" x14ac:dyDescent="0.4">
      <c r="A31" s="28"/>
      <c r="B31" s="8"/>
      <c r="C31" s="19"/>
      <c r="D31" s="8"/>
      <c r="E31" s="8"/>
      <c r="F31" s="10"/>
      <c r="G31" s="10"/>
      <c r="H31" s="14"/>
      <c r="I31" s="11"/>
      <c r="J31" s="14">
        <f>SUM(J10:J30)</f>
        <v>3990</v>
      </c>
      <c r="K31" s="12"/>
      <c r="L31" s="10">
        <f>SUM(L11:L30)</f>
        <v>2010</v>
      </c>
      <c r="M31" s="10">
        <f>SUM(M11:M30)</f>
        <v>6000</v>
      </c>
    </row>
    <row r="32" spans="1:14" ht="15.45" x14ac:dyDescent="0.4">
      <c r="A32" s="28"/>
      <c r="B32" s="8"/>
      <c r="C32" s="19"/>
      <c r="D32" s="8"/>
      <c r="E32" s="8"/>
      <c r="F32" s="10"/>
      <c r="G32" s="10"/>
      <c r="H32" s="14"/>
      <c r="I32" s="11"/>
      <c r="J32" s="12"/>
      <c r="K32" s="12"/>
    </row>
    <row r="33" spans="1:11" ht="15.45" x14ac:dyDescent="0.4">
      <c r="A33" s="8"/>
      <c r="B33" s="8"/>
      <c r="C33" s="8" t="s">
        <v>13</v>
      </c>
      <c r="D33" s="8"/>
      <c r="E33" s="8"/>
      <c r="F33" s="8"/>
      <c r="G33" s="8"/>
      <c r="H33" s="8"/>
      <c r="I33" s="8"/>
      <c r="J33" s="8"/>
      <c r="K33" s="8"/>
    </row>
    <row r="34" spans="1:11" ht="15.45" x14ac:dyDescent="0.4">
      <c r="A34" s="8"/>
      <c r="B34" s="8"/>
      <c r="C34" s="8"/>
      <c r="D34" s="8"/>
      <c r="E34" s="22"/>
      <c r="F34" s="8"/>
      <c r="G34" s="8"/>
      <c r="H34" s="8"/>
      <c r="I34" s="8"/>
      <c r="J34" s="8"/>
      <c r="K34" s="8"/>
    </row>
    <row r="35" spans="1:11" ht="15.45" x14ac:dyDescent="0.4">
      <c r="A35" s="8"/>
      <c r="B35" s="8"/>
      <c r="C35" s="8"/>
      <c r="D35" s="8"/>
      <c r="E35" s="19" t="s">
        <v>15</v>
      </c>
      <c r="F35" s="8"/>
      <c r="G35" s="8"/>
      <c r="H35" s="8"/>
      <c r="I35" s="8"/>
      <c r="J35" s="8"/>
      <c r="K35" s="8"/>
    </row>
    <row r="36" spans="1:11" ht="15.45" x14ac:dyDescent="0.4">
      <c r="A36" s="22" t="s">
        <v>51</v>
      </c>
    </row>
    <row r="37" spans="1:11" ht="15.45" x14ac:dyDescent="0.4">
      <c r="A37" s="23" t="s">
        <v>244</v>
      </c>
      <c r="B37" s="8"/>
      <c r="C37" s="8"/>
      <c r="D37" s="8"/>
      <c r="E37" s="8"/>
      <c r="F37" s="8"/>
      <c r="G37" s="8"/>
      <c r="H37" s="8"/>
      <c r="I37" s="8"/>
      <c r="J37" s="20" t="s">
        <v>2</v>
      </c>
      <c r="K37" s="19"/>
    </row>
    <row r="38" spans="1:11" ht="15.45" x14ac:dyDescent="0.4">
      <c r="A38" s="8"/>
      <c r="B38" s="8"/>
      <c r="C38" s="9" t="s">
        <v>140</v>
      </c>
      <c r="D38" s="8"/>
      <c r="E38" s="8"/>
      <c r="F38" s="8"/>
      <c r="G38" s="8"/>
      <c r="H38" s="8"/>
      <c r="I38" s="10"/>
      <c r="J38" s="41">
        <v>1000</v>
      </c>
      <c r="K38" s="48"/>
    </row>
    <row r="39" spans="1:11" ht="15.45" x14ac:dyDescent="0.4">
      <c r="A39" s="8"/>
      <c r="B39" s="8"/>
      <c r="C39" s="9" t="s">
        <v>141</v>
      </c>
      <c r="D39" s="8"/>
      <c r="E39" s="8"/>
      <c r="F39" s="8"/>
      <c r="G39" s="8"/>
      <c r="H39" s="8"/>
      <c r="I39" s="10"/>
      <c r="J39" s="41">
        <v>1000</v>
      </c>
      <c r="K39" s="48"/>
    </row>
    <row r="40" spans="1:11" ht="15.45" x14ac:dyDescent="0.4">
      <c r="A40" s="8"/>
      <c r="B40" s="8"/>
      <c r="C40" s="9">
        <v>17</v>
      </c>
      <c r="D40" s="8"/>
      <c r="E40" s="8" t="s">
        <v>142</v>
      </c>
      <c r="F40" s="8"/>
      <c r="G40" s="8"/>
      <c r="H40" s="8"/>
      <c r="I40" s="10"/>
      <c r="J40" s="41">
        <v>1000</v>
      </c>
      <c r="K40" s="48"/>
    </row>
    <row r="41" spans="1:11" ht="15.9" x14ac:dyDescent="0.45">
      <c r="A41" s="59"/>
      <c r="B41" s="56"/>
      <c r="C41" s="9">
        <v>18</v>
      </c>
      <c r="D41" s="56"/>
      <c r="E41" s="8" t="s">
        <v>142</v>
      </c>
      <c r="F41" s="10"/>
      <c r="G41" s="8"/>
      <c r="H41" s="10"/>
      <c r="I41" s="8"/>
      <c r="J41" s="41">
        <v>1000</v>
      </c>
      <c r="K41" s="8"/>
    </row>
    <row r="42" spans="1:11" ht="15.9" x14ac:dyDescent="0.45">
      <c r="A42" s="60"/>
      <c r="B42" s="56"/>
      <c r="C42" s="89">
        <v>19</v>
      </c>
      <c r="D42" s="56"/>
      <c r="E42" s="8" t="s">
        <v>142</v>
      </c>
      <c r="F42" s="8"/>
      <c r="G42" s="8"/>
      <c r="H42" s="10"/>
      <c r="I42" s="8"/>
      <c r="J42" s="41">
        <v>1000</v>
      </c>
      <c r="K42" s="8"/>
    </row>
    <row r="43" spans="1:11" ht="15.9" x14ac:dyDescent="0.45">
      <c r="A43" s="61"/>
      <c r="B43" s="56"/>
      <c r="C43" s="89">
        <v>20</v>
      </c>
      <c r="D43" s="56"/>
      <c r="E43" s="8" t="s">
        <v>143</v>
      </c>
      <c r="F43" s="10"/>
      <c r="G43" s="8"/>
      <c r="H43" s="38"/>
      <c r="I43" s="8"/>
      <c r="J43" s="8"/>
      <c r="K43" s="8"/>
    </row>
    <row r="44" spans="1:11" ht="15.45" x14ac:dyDescent="0.4">
      <c r="A44" s="36"/>
      <c r="C44" s="19">
        <v>27</v>
      </c>
      <c r="E44" s="8"/>
      <c r="F44" s="10"/>
      <c r="G44" s="8"/>
      <c r="H44" s="38"/>
      <c r="I44" s="8"/>
      <c r="J44" s="10">
        <v>1000</v>
      </c>
      <c r="K44" s="8"/>
    </row>
    <row r="45" spans="1:11" ht="15.45" x14ac:dyDescent="0.4">
      <c r="A45" s="1"/>
      <c r="E45" s="8"/>
      <c r="F45" s="10"/>
      <c r="G45" s="8"/>
      <c r="H45" s="10"/>
      <c r="I45" s="8"/>
      <c r="J45" s="10"/>
      <c r="K45" s="10"/>
    </row>
    <row r="46" spans="1:11" ht="15.9" x14ac:dyDescent="0.45">
      <c r="A46" s="32"/>
      <c r="E46" s="8"/>
      <c r="F46" s="10"/>
      <c r="H46" s="4"/>
      <c r="J46" s="10"/>
      <c r="K46" s="10"/>
    </row>
    <row r="47" spans="1:11" ht="15.45" x14ac:dyDescent="0.4">
      <c r="A47" s="1"/>
      <c r="E47" s="8"/>
      <c r="F47" s="10"/>
    </row>
  </sheetData>
  <pageMargins left="0.2" right="0.2" top="0.75" bottom="0.5" header="0.3" footer="0.3"/>
  <pageSetup orientation="portrait" horizontalDpi="4294967293" verticalDpi="0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M128"/>
  <sheetViews>
    <sheetView topLeftCell="A34" workbookViewId="0">
      <selection activeCell="M15" sqref="M15"/>
    </sheetView>
  </sheetViews>
  <sheetFormatPr defaultRowHeight="14.6" x14ac:dyDescent="0.4"/>
  <cols>
    <col min="1" max="1" width="8.53515625" customWidth="1"/>
    <col min="2" max="2" width="0.84375" customWidth="1"/>
    <col min="3" max="3" width="7.84375" customWidth="1"/>
    <col min="4" max="4" width="1" customWidth="1"/>
    <col min="5" max="5" width="15.53515625" customWidth="1"/>
    <col min="6" max="6" width="11.3046875" customWidth="1"/>
    <col min="7" max="7" width="0.84375" customWidth="1"/>
    <col min="8" max="8" width="10" customWidth="1"/>
    <col min="9" max="9" width="10.3046875" customWidth="1"/>
    <col min="10" max="10" width="0.84375" customWidth="1"/>
    <col min="12" max="12" width="10.3046875" bestFit="1" customWidth="1"/>
    <col min="15" max="15" width="9" customWidth="1"/>
  </cols>
  <sheetData>
    <row r="1" spans="1:13" ht="14.15" customHeight="1" x14ac:dyDescent="0.4">
      <c r="A1" s="8"/>
      <c r="B1" s="8"/>
      <c r="C1" s="8"/>
      <c r="D1" s="8" t="s">
        <v>0</v>
      </c>
      <c r="E1" s="8"/>
      <c r="F1" s="8"/>
      <c r="G1" s="8"/>
      <c r="H1" s="8"/>
      <c r="I1" s="8"/>
      <c r="J1" s="8"/>
      <c r="K1" s="8"/>
    </row>
    <row r="2" spans="1:13" ht="14.15" customHeight="1" x14ac:dyDescent="0.4">
      <c r="A2" s="8"/>
      <c r="B2" s="8"/>
      <c r="C2" s="8"/>
      <c r="D2" s="8" t="s">
        <v>18</v>
      </c>
      <c r="E2" s="8" t="s">
        <v>40</v>
      </c>
      <c r="F2" s="8"/>
      <c r="G2" s="8"/>
      <c r="H2" s="8"/>
      <c r="I2" s="8"/>
      <c r="J2" s="8"/>
      <c r="K2" s="8"/>
    </row>
    <row r="3" spans="1:13" ht="14.15" customHeight="1" x14ac:dyDescent="0.4">
      <c r="A3" s="8"/>
      <c r="B3" s="8"/>
      <c r="C3" s="8"/>
      <c r="D3" s="18"/>
      <c r="E3" s="13" t="s">
        <v>187</v>
      </c>
      <c r="F3" s="8"/>
      <c r="G3" s="8"/>
      <c r="H3" s="8"/>
      <c r="I3" s="8"/>
      <c r="J3" s="8"/>
      <c r="K3" s="8"/>
    </row>
    <row r="4" spans="1:13" ht="14.15" customHeight="1" x14ac:dyDescent="0.4">
      <c r="A4" s="8"/>
      <c r="B4" s="8"/>
      <c r="C4" s="8"/>
      <c r="D4" s="8"/>
      <c r="E4" s="8"/>
      <c r="F4" s="8"/>
      <c r="G4" s="8"/>
      <c r="H4" s="8"/>
      <c r="I4" s="8"/>
      <c r="J4" s="8"/>
      <c r="K4" s="8"/>
    </row>
    <row r="5" spans="1:13" ht="14.15" customHeight="1" x14ac:dyDescent="0.4">
      <c r="A5" s="8"/>
      <c r="B5" s="8"/>
      <c r="C5" s="8"/>
      <c r="D5" s="8"/>
      <c r="E5" s="8"/>
      <c r="F5" s="19" t="s">
        <v>12</v>
      </c>
      <c r="G5" s="8"/>
      <c r="H5" s="8"/>
      <c r="I5" s="8"/>
      <c r="J5" s="8"/>
      <c r="K5" s="19" t="s">
        <v>72</v>
      </c>
    </row>
    <row r="6" spans="1:13" ht="14.15" customHeight="1" x14ac:dyDescent="0.4">
      <c r="A6" s="20" t="s">
        <v>5</v>
      </c>
      <c r="B6" s="19"/>
      <c r="C6" s="20" t="s">
        <v>6</v>
      </c>
      <c r="D6" s="8"/>
      <c r="E6" s="20" t="s">
        <v>1</v>
      </c>
      <c r="F6" s="37" t="s">
        <v>3</v>
      </c>
      <c r="G6" s="8"/>
      <c r="H6" s="20" t="s">
        <v>46</v>
      </c>
      <c r="I6" s="20" t="s">
        <v>2</v>
      </c>
      <c r="J6" s="8"/>
      <c r="K6" s="20" t="s">
        <v>64</v>
      </c>
      <c r="L6" s="20" t="s">
        <v>2</v>
      </c>
      <c r="M6" s="20" t="s">
        <v>5</v>
      </c>
    </row>
    <row r="7" spans="1:13" ht="14.15" customHeight="1" x14ac:dyDescent="0.4">
      <c r="A7" s="38" t="s">
        <v>148</v>
      </c>
      <c r="B7" s="19"/>
      <c r="C7" s="19"/>
      <c r="D7" s="8"/>
      <c r="E7" s="17"/>
      <c r="F7" s="21"/>
      <c r="G7" s="8"/>
      <c r="H7" s="19"/>
      <c r="I7" s="21"/>
      <c r="J7" s="8"/>
      <c r="K7" s="19"/>
    </row>
    <row r="8" spans="1:13" ht="14.15" customHeight="1" x14ac:dyDescent="0.4">
      <c r="A8" s="28" t="s">
        <v>7</v>
      </c>
      <c r="B8" s="19"/>
      <c r="C8" s="19">
        <v>2493</v>
      </c>
      <c r="D8" s="8"/>
      <c r="E8" s="17" t="s">
        <v>75</v>
      </c>
      <c r="F8" s="21">
        <v>100</v>
      </c>
      <c r="G8" s="8"/>
      <c r="H8" s="21"/>
      <c r="I8" s="21"/>
      <c r="J8" s="8"/>
      <c r="K8" s="19"/>
    </row>
    <row r="9" spans="1:13" ht="14.15" customHeight="1" x14ac:dyDescent="0.4">
      <c r="A9" s="28" t="s">
        <v>7</v>
      </c>
      <c r="B9" s="8"/>
      <c r="C9" s="19">
        <v>2494</v>
      </c>
      <c r="D9" s="8"/>
      <c r="E9" s="8" t="s">
        <v>8</v>
      </c>
      <c r="F9" s="10">
        <v>100</v>
      </c>
      <c r="G9" s="10"/>
      <c r="H9" s="14"/>
      <c r="I9" s="14"/>
      <c r="J9" s="11"/>
      <c r="K9" s="19"/>
    </row>
    <row r="10" spans="1:13" ht="14.15" customHeight="1" x14ac:dyDescent="0.4">
      <c r="A10" s="28" t="s">
        <v>7</v>
      </c>
      <c r="B10" s="8"/>
      <c r="C10" s="19">
        <v>2495</v>
      </c>
      <c r="D10" s="8"/>
      <c r="E10" s="8" t="s">
        <v>188</v>
      </c>
      <c r="F10" s="10">
        <v>50</v>
      </c>
      <c r="G10" s="10"/>
      <c r="H10" s="14"/>
      <c r="I10" s="14"/>
      <c r="J10" s="11"/>
      <c r="K10" s="19"/>
    </row>
    <row r="11" spans="1:13" ht="14.15" customHeight="1" x14ac:dyDescent="0.4">
      <c r="A11" s="28" t="s">
        <v>7</v>
      </c>
      <c r="B11" s="8"/>
      <c r="C11" s="19">
        <v>2496</v>
      </c>
      <c r="D11" s="8"/>
      <c r="E11" s="8" t="s">
        <v>189</v>
      </c>
      <c r="F11" s="10">
        <v>100</v>
      </c>
      <c r="G11" s="10"/>
      <c r="H11" s="14"/>
      <c r="I11" s="14"/>
      <c r="J11" s="11"/>
      <c r="K11" s="19"/>
    </row>
    <row r="12" spans="1:13" ht="14.15" customHeight="1" x14ac:dyDescent="0.4">
      <c r="A12" s="28" t="s">
        <v>7</v>
      </c>
      <c r="B12" s="8"/>
      <c r="C12" s="19">
        <v>2497</v>
      </c>
      <c r="D12" s="8"/>
      <c r="E12" s="8" t="s">
        <v>23</v>
      </c>
      <c r="F12" s="10">
        <v>200</v>
      </c>
      <c r="G12" s="10"/>
      <c r="H12" s="14"/>
      <c r="I12" s="14"/>
      <c r="J12" s="11"/>
      <c r="K12" s="19"/>
    </row>
    <row r="13" spans="1:13" ht="14.15" customHeight="1" x14ac:dyDescent="0.45">
      <c r="A13" s="28" t="s">
        <v>7</v>
      </c>
      <c r="B13" s="8"/>
      <c r="C13" s="19">
        <v>2498</v>
      </c>
      <c r="D13" s="8"/>
      <c r="E13" s="8" t="s">
        <v>190</v>
      </c>
      <c r="F13" s="41">
        <v>20</v>
      </c>
      <c r="G13" s="10"/>
      <c r="H13" s="14"/>
      <c r="I13" s="14"/>
      <c r="J13" s="11"/>
      <c r="K13" s="21"/>
      <c r="L13" s="57"/>
      <c r="M13" s="58"/>
    </row>
    <row r="14" spans="1:13" ht="14.15" customHeight="1" x14ac:dyDescent="0.4">
      <c r="A14" s="28" t="s">
        <v>7</v>
      </c>
      <c r="B14" s="8"/>
      <c r="C14" s="19">
        <v>2499</v>
      </c>
      <c r="D14" s="8"/>
      <c r="E14" s="8" t="s">
        <v>44</v>
      </c>
      <c r="F14" s="41">
        <v>100</v>
      </c>
      <c r="G14" s="10"/>
      <c r="H14" s="14"/>
      <c r="I14" s="14"/>
      <c r="J14" s="11"/>
      <c r="K14" s="19"/>
    </row>
    <row r="15" spans="1:13" ht="14.15" customHeight="1" x14ac:dyDescent="0.45">
      <c r="A15" s="28"/>
      <c r="B15" s="8"/>
      <c r="C15" s="19"/>
      <c r="D15" s="8"/>
      <c r="E15" s="8" t="s">
        <v>131</v>
      </c>
      <c r="F15" s="43">
        <v>100</v>
      </c>
      <c r="G15" s="10"/>
      <c r="H15" s="14"/>
      <c r="I15" s="14">
        <f>SUM(F8:F15)</f>
        <v>770</v>
      </c>
      <c r="J15" s="11"/>
      <c r="K15" s="21">
        <v>230</v>
      </c>
      <c r="L15" s="57">
        <v>1000</v>
      </c>
      <c r="M15" s="58" t="s">
        <v>191</v>
      </c>
    </row>
    <row r="16" spans="1:13" ht="14.15" customHeight="1" x14ac:dyDescent="0.4">
      <c r="A16" s="28" t="s">
        <v>68</v>
      </c>
      <c r="B16" s="8"/>
      <c r="C16" s="19">
        <v>2500</v>
      </c>
      <c r="D16" s="8"/>
      <c r="E16" s="8" t="s">
        <v>190</v>
      </c>
      <c r="F16" s="10">
        <v>50</v>
      </c>
      <c r="G16" s="10"/>
      <c r="H16" s="14"/>
      <c r="I16" s="14"/>
      <c r="J16" s="11"/>
      <c r="K16" s="21"/>
    </row>
    <row r="17" spans="1:13" ht="14.15" customHeight="1" x14ac:dyDescent="0.4">
      <c r="A17" s="28" t="s">
        <v>68</v>
      </c>
      <c r="B17" s="8"/>
      <c r="C17" s="19">
        <v>2501</v>
      </c>
      <c r="D17" s="8"/>
      <c r="E17" s="8" t="s">
        <v>180</v>
      </c>
      <c r="F17" s="10">
        <v>100</v>
      </c>
      <c r="G17" s="10"/>
      <c r="H17" s="14"/>
      <c r="I17" s="14"/>
      <c r="J17" s="11"/>
      <c r="K17" s="21"/>
    </row>
    <row r="18" spans="1:13" ht="14.15" customHeight="1" x14ac:dyDescent="0.4">
      <c r="A18" s="28" t="s">
        <v>68</v>
      </c>
      <c r="B18" s="13"/>
      <c r="C18" s="19">
        <v>2502</v>
      </c>
      <c r="D18" s="8"/>
      <c r="E18" s="8" t="s">
        <v>23</v>
      </c>
      <c r="F18" s="10">
        <v>200</v>
      </c>
      <c r="G18" s="10"/>
      <c r="H18" s="14"/>
      <c r="I18" s="14"/>
      <c r="J18" s="11"/>
      <c r="K18" s="21"/>
    </row>
    <row r="19" spans="1:13" ht="14.15" customHeight="1" x14ac:dyDescent="0.4">
      <c r="A19" s="28" t="s">
        <v>68</v>
      </c>
      <c r="B19" s="13"/>
      <c r="C19" s="19">
        <v>2503</v>
      </c>
      <c r="D19" s="8"/>
      <c r="E19" s="8"/>
      <c r="F19" s="10">
        <v>100</v>
      </c>
      <c r="G19" s="10"/>
      <c r="H19" s="14"/>
      <c r="I19" s="14"/>
      <c r="J19" s="11"/>
      <c r="K19" s="21"/>
    </row>
    <row r="20" spans="1:13" ht="14.15" customHeight="1" x14ac:dyDescent="0.45">
      <c r="A20" s="28" t="s">
        <v>68</v>
      </c>
      <c r="B20" s="13"/>
      <c r="C20" s="19">
        <v>2504</v>
      </c>
      <c r="D20" s="8"/>
      <c r="E20" s="8" t="s">
        <v>192</v>
      </c>
      <c r="F20" s="43">
        <v>200</v>
      </c>
      <c r="G20" s="10"/>
      <c r="H20" s="14"/>
      <c r="I20" s="14">
        <f>SUM(F16:F20)</f>
        <v>650</v>
      </c>
      <c r="J20" s="11"/>
      <c r="K20" s="21">
        <v>350</v>
      </c>
      <c r="L20" s="57">
        <v>1000</v>
      </c>
      <c r="M20" s="58" t="s">
        <v>193</v>
      </c>
    </row>
    <row r="21" spans="1:13" ht="14.15" customHeight="1" x14ac:dyDescent="0.4">
      <c r="A21" s="28" t="s">
        <v>150</v>
      </c>
      <c r="B21" s="13"/>
      <c r="C21" s="19">
        <v>2505</v>
      </c>
      <c r="D21" s="8"/>
      <c r="E21" s="8" t="s">
        <v>194</v>
      </c>
      <c r="F21" s="10">
        <v>50</v>
      </c>
      <c r="G21" s="10"/>
      <c r="H21" s="14"/>
      <c r="I21" s="14"/>
      <c r="J21" s="11"/>
      <c r="K21" s="21"/>
    </row>
    <row r="22" spans="1:13" ht="14.15" customHeight="1" x14ac:dyDescent="0.4">
      <c r="A22" s="28" t="s">
        <v>150</v>
      </c>
      <c r="B22" s="13"/>
      <c r="C22" s="19">
        <v>2506</v>
      </c>
      <c r="D22" s="8"/>
      <c r="E22" s="8" t="s">
        <v>190</v>
      </c>
      <c r="F22" s="10">
        <v>100</v>
      </c>
      <c r="G22" s="10"/>
      <c r="H22" s="14"/>
      <c r="I22" s="14"/>
      <c r="J22" s="11"/>
      <c r="K22" s="21"/>
    </row>
    <row r="23" spans="1:13" ht="14.15" customHeight="1" x14ac:dyDescent="0.4">
      <c r="A23" s="28" t="s">
        <v>150</v>
      </c>
      <c r="B23" s="13"/>
      <c r="C23" s="19">
        <v>2507</v>
      </c>
      <c r="D23" s="8"/>
      <c r="E23" s="8" t="s">
        <v>195</v>
      </c>
      <c r="F23" s="10">
        <v>100</v>
      </c>
      <c r="G23" s="10"/>
      <c r="H23" s="14"/>
      <c r="I23" s="14"/>
      <c r="J23" s="11"/>
      <c r="K23" s="21"/>
    </row>
    <row r="24" spans="1:13" ht="14.15" customHeight="1" x14ac:dyDescent="0.4">
      <c r="A24" s="28" t="s">
        <v>150</v>
      </c>
      <c r="B24" s="13"/>
      <c r="C24" s="19">
        <v>2508</v>
      </c>
      <c r="D24" s="8"/>
      <c r="E24" s="8" t="s">
        <v>196</v>
      </c>
      <c r="F24" s="10">
        <v>100</v>
      </c>
      <c r="G24" s="10"/>
      <c r="H24" s="14"/>
      <c r="I24" s="14"/>
      <c r="J24" s="11"/>
      <c r="K24" s="21"/>
    </row>
    <row r="25" spans="1:13" ht="14.15" customHeight="1" x14ac:dyDescent="0.4">
      <c r="A25" s="28" t="s">
        <v>150</v>
      </c>
      <c r="B25" s="8"/>
      <c r="C25" s="19">
        <v>2509</v>
      </c>
      <c r="D25" s="8"/>
      <c r="E25" s="8" t="s">
        <v>66</v>
      </c>
      <c r="F25" s="41">
        <v>400</v>
      </c>
      <c r="G25" s="10"/>
      <c r="H25" s="14"/>
      <c r="I25" s="14"/>
      <c r="J25" s="11"/>
      <c r="K25" s="21"/>
    </row>
    <row r="26" spans="1:13" ht="14.15" customHeight="1" x14ac:dyDescent="0.45">
      <c r="A26" s="28" t="s">
        <v>150</v>
      </c>
      <c r="B26" s="8"/>
      <c r="C26" s="19">
        <v>2510</v>
      </c>
      <c r="D26" s="8"/>
      <c r="E26" s="8" t="s">
        <v>197</v>
      </c>
      <c r="F26" s="43">
        <v>500</v>
      </c>
      <c r="G26" s="10"/>
      <c r="H26" s="14"/>
      <c r="I26" s="14">
        <f>SUM(F21:F26)</f>
        <v>1250</v>
      </c>
      <c r="J26" s="11"/>
      <c r="K26" s="21">
        <v>250</v>
      </c>
      <c r="L26" s="103">
        <v>1500</v>
      </c>
      <c r="M26" s="58" t="s">
        <v>162</v>
      </c>
    </row>
    <row r="27" spans="1:13" ht="14.15" customHeight="1" x14ac:dyDescent="0.4">
      <c r="A27" s="28" t="s">
        <v>34</v>
      </c>
      <c r="B27" s="8"/>
      <c r="C27" s="19">
        <v>2511</v>
      </c>
      <c r="D27" s="8"/>
      <c r="E27" s="8" t="s">
        <v>190</v>
      </c>
      <c r="F27" s="10">
        <v>50</v>
      </c>
      <c r="G27" s="10"/>
      <c r="H27" s="14"/>
      <c r="I27" s="14"/>
      <c r="J27" s="11"/>
      <c r="K27" s="21"/>
    </row>
    <row r="28" spans="1:13" ht="14.15" customHeight="1" x14ac:dyDescent="0.4">
      <c r="A28" s="28" t="s">
        <v>34</v>
      </c>
      <c r="B28" s="8"/>
      <c r="C28" s="19">
        <v>2512</v>
      </c>
      <c r="D28" s="8"/>
      <c r="E28" s="8" t="s">
        <v>23</v>
      </c>
      <c r="F28" s="10">
        <v>200</v>
      </c>
      <c r="G28" s="10"/>
      <c r="H28" s="40"/>
      <c r="I28" s="14"/>
      <c r="J28" s="11"/>
      <c r="K28" s="21"/>
    </row>
    <row r="29" spans="1:13" ht="14.15" customHeight="1" x14ac:dyDescent="0.4">
      <c r="A29" s="28" t="s">
        <v>34</v>
      </c>
      <c r="B29" s="8"/>
      <c r="C29" s="19">
        <v>2513</v>
      </c>
      <c r="D29" s="8"/>
      <c r="E29" s="8" t="s">
        <v>41</v>
      </c>
      <c r="F29" s="10">
        <v>100</v>
      </c>
      <c r="G29" s="10"/>
      <c r="H29" s="40"/>
      <c r="I29" s="14"/>
      <c r="J29" s="11"/>
      <c r="K29" s="21"/>
    </row>
    <row r="30" spans="1:13" ht="14.15" customHeight="1" x14ac:dyDescent="0.4">
      <c r="A30" s="28" t="s">
        <v>34</v>
      </c>
      <c r="B30" s="8"/>
      <c r="C30" s="19">
        <v>2514</v>
      </c>
      <c r="D30" s="8"/>
      <c r="E30" s="8" t="s">
        <v>180</v>
      </c>
      <c r="F30" s="10">
        <v>100</v>
      </c>
      <c r="G30" s="10"/>
      <c r="H30" s="41"/>
      <c r="I30" s="14"/>
      <c r="J30" s="11"/>
      <c r="K30" s="21"/>
      <c r="L30" s="7"/>
    </row>
    <row r="31" spans="1:13" ht="14.15" customHeight="1" x14ac:dyDescent="0.45">
      <c r="A31" s="28" t="s">
        <v>34</v>
      </c>
      <c r="B31" s="8"/>
      <c r="C31" s="19">
        <v>2515</v>
      </c>
      <c r="D31" s="8"/>
      <c r="E31" s="8" t="s">
        <v>198</v>
      </c>
      <c r="F31" s="43">
        <v>200</v>
      </c>
      <c r="G31" s="10"/>
      <c r="H31" s="41"/>
      <c r="I31" s="14">
        <f>SUM(F27:F31)</f>
        <v>650</v>
      </c>
      <c r="J31" s="11"/>
      <c r="K31" s="21">
        <v>850</v>
      </c>
      <c r="L31" s="103">
        <v>1500</v>
      </c>
      <c r="M31" s="58" t="s">
        <v>200</v>
      </c>
    </row>
    <row r="32" spans="1:13" ht="14.15" customHeight="1" x14ac:dyDescent="0.45">
      <c r="A32" s="28" t="s">
        <v>9</v>
      </c>
      <c r="B32" s="8"/>
      <c r="C32" s="19">
        <v>2516</v>
      </c>
      <c r="D32" s="8"/>
      <c r="E32" s="8" t="s">
        <v>121</v>
      </c>
      <c r="F32" s="104">
        <v>1500</v>
      </c>
      <c r="G32" s="10"/>
      <c r="H32" s="40"/>
      <c r="I32" s="14"/>
      <c r="J32" s="11"/>
      <c r="K32" s="21"/>
      <c r="L32" s="103">
        <v>1500</v>
      </c>
      <c r="M32" s="58" t="s">
        <v>199</v>
      </c>
    </row>
    <row r="33" spans="1:13" ht="14.15" customHeight="1" x14ac:dyDescent="0.4">
      <c r="A33" s="28" t="s">
        <v>9</v>
      </c>
      <c r="B33" s="8"/>
      <c r="C33" s="19">
        <v>2517</v>
      </c>
      <c r="D33" s="8"/>
      <c r="E33" s="8" t="s">
        <v>192</v>
      </c>
      <c r="F33" s="10">
        <v>100</v>
      </c>
      <c r="G33" s="10"/>
      <c r="H33" s="14"/>
      <c r="I33" s="14"/>
      <c r="J33" s="11"/>
      <c r="K33" s="21"/>
      <c r="L33" s="7"/>
    </row>
    <row r="34" spans="1:13" ht="14.15" customHeight="1" x14ac:dyDescent="0.4">
      <c r="A34" s="28" t="s">
        <v>9</v>
      </c>
      <c r="B34" s="8"/>
      <c r="C34" s="19">
        <v>2518</v>
      </c>
      <c r="D34" s="8"/>
      <c r="E34" s="8" t="s">
        <v>201</v>
      </c>
      <c r="F34" s="10">
        <v>100</v>
      </c>
      <c r="G34" s="10"/>
      <c r="H34" s="14"/>
      <c r="I34" s="14"/>
      <c r="J34" s="11"/>
      <c r="K34" s="21"/>
      <c r="L34" s="7"/>
    </row>
    <row r="35" spans="1:13" ht="14.15" customHeight="1" x14ac:dyDescent="0.4">
      <c r="A35" s="28" t="s">
        <v>35</v>
      </c>
      <c r="B35" s="8"/>
      <c r="C35" s="19">
        <v>2519</v>
      </c>
      <c r="D35" s="8"/>
      <c r="E35" s="8" t="s">
        <v>180</v>
      </c>
      <c r="F35" s="10">
        <v>100</v>
      </c>
      <c r="G35" s="10"/>
      <c r="H35" s="14"/>
      <c r="I35" s="14"/>
      <c r="J35" s="11"/>
      <c r="K35" s="21"/>
      <c r="L35" s="7"/>
    </row>
    <row r="36" spans="1:13" ht="14.15" customHeight="1" x14ac:dyDescent="0.4">
      <c r="A36" s="28" t="s">
        <v>35</v>
      </c>
      <c r="B36" s="8"/>
      <c r="C36" s="19">
        <v>2520</v>
      </c>
      <c r="D36" s="8"/>
      <c r="E36" s="8" t="s">
        <v>23</v>
      </c>
      <c r="F36" s="10">
        <v>200</v>
      </c>
      <c r="G36" s="10"/>
      <c r="H36" s="14"/>
      <c r="I36" s="14"/>
      <c r="J36" s="11"/>
      <c r="K36" s="21"/>
      <c r="L36" s="7"/>
    </row>
    <row r="37" spans="1:13" ht="14.15" customHeight="1" x14ac:dyDescent="0.4">
      <c r="A37" s="28" t="s">
        <v>35</v>
      </c>
      <c r="C37" s="19">
        <v>2521</v>
      </c>
      <c r="D37" s="8"/>
      <c r="E37" s="8" t="s">
        <v>202</v>
      </c>
      <c r="F37" s="10">
        <v>100</v>
      </c>
      <c r="G37" s="10"/>
      <c r="H37" s="14"/>
      <c r="I37" s="14"/>
      <c r="J37" s="11"/>
      <c r="K37" s="21"/>
      <c r="L37" s="7"/>
    </row>
    <row r="38" spans="1:13" ht="14.15" customHeight="1" x14ac:dyDescent="0.4">
      <c r="A38" s="28" t="s">
        <v>35</v>
      </c>
      <c r="C38" s="19">
        <v>2522</v>
      </c>
      <c r="E38" s="8" t="s">
        <v>203</v>
      </c>
      <c r="F38" s="10">
        <v>500</v>
      </c>
      <c r="I38" s="14"/>
      <c r="K38" s="21"/>
    </row>
    <row r="39" spans="1:13" ht="14.15" customHeight="1" x14ac:dyDescent="0.4">
      <c r="A39" s="28" t="s">
        <v>35</v>
      </c>
      <c r="C39" s="19">
        <v>2523</v>
      </c>
      <c r="E39" s="8" t="s">
        <v>204</v>
      </c>
      <c r="F39" s="10">
        <v>100</v>
      </c>
      <c r="I39" s="14"/>
      <c r="K39" s="21"/>
    </row>
    <row r="40" spans="1:13" ht="14.15" customHeight="1" x14ac:dyDescent="0.4">
      <c r="A40" s="28" t="s">
        <v>35</v>
      </c>
      <c r="C40" s="19">
        <v>2524</v>
      </c>
      <c r="E40" s="8" t="s">
        <v>192</v>
      </c>
      <c r="F40" s="10">
        <v>100</v>
      </c>
      <c r="I40" s="40"/>
      <c r="K40" s="21"/>
    </row>
    <row r="41" spans="1:13" ht="14.15" customHeight="1" x14ac:dyDescent="0.4">
      <c r="A41" s="28" t="s">
        <v>35</v>
      </c>
      <c r="C41" s="19">
        <v>2525</v>
      </c>
      <c r="E41" s="8" t="s">
        <v>205</v>
      </c>
      <c r="F41" s="43">
        <v>100</v>
      </c>
      <c r="H41" s="7">
        <f>SUM(F33:F41)</f>
        <v>1400</v>
      </c>
      <c r="I41" s="14"/>
      <c r="K41" s="21"/>
    </row>
    <row r="42" spans="1:13" ht="14.15" customHeight="1" x14ac:dyDescent="0.45">
      <c r="A42" s="28" t="s">
        <v>35</v>
      </c>
      <c r="C42" s="19">
        <v>2526</v>
      </c>
      <c r="E42" s="8" t="s">
        <v>206</v>
      </c>
      <c r="F42" s="104">
        <v>1500</v>
      </c>
      <c r="I42" s="14"/>
      <c r="K42" s="21"/>
      <c r="L42" s="103">
        <v>1500</v>
      </c>
      <c r="M42" s="58" t="s">
        <v>207</v>
      </c>
    </row>
    <row r="43" spans="1:13" ht="14.15" customHeight="1" x14ac:dyDescent="0.45">
      <c r="A43" s="28" t="s">
        <v>26</v>
      </c>
      <c r="C43" s="19">
        <v>2527</v>
      </c>
      <c r="E43" s="8" t="s">
        <v>202</v>
      </c>
      <c r="F43" s="10">
        <v>100</v>
      </c>
      <c r="I43" s="14"/>
      <c r="K43" s="21"/>
      <c r="L43" s="57"/>
      <c r="M43" s="58"/>
    </row>
    <row r="44" spans="1:13" ht="14.15" customHeight="1" x14ac:dyDescent="0.45">
      <c r="A44" s="28" t="s">
        <v>26</v>
      </c>
      <c r="C44" s="19">
        <v>2528</v>
      </c>
      <c r="E44" s="8" t="s">
        <v>208</v>
      </c>
      <c r="F44" s="10">
        <v>100</v>
      </c>
      <c r="H44" s="2"/>
      <c r="I44" s="14"/>
      <c r="K44" s="21"/>
      <c r="L44" s="57"/>
      <c r="M44" s="58"/>
    </row>
    <row r="45" spans="1:13" ht="14.15" customHeight="1" x14ac:dyDescent="0.4">
      <c r="A45" s="28" t="s">
        <v>26</v>
      </c>
      <c r="C45" s="19">
        <v>2529</v>
      </c>
      <c r="E45" s="8" t="s">
        <v>190</v>
      </c>
      <c r="F45" s="10">
        <v>50</v>
      </c>
      <c r="I45" s="14"/>
      <c r="K45" s="21"/>
    </row>
    <row r="46" spans="1:13" ht="14.15" customHeight="1" x14ac:dyDescent="0.4">
      <c r="A46" s="28" t="s">
        <v>26</v>
      </c>
      <c r="C46" s="19">
        <v>2530</v>
      </c>
      <c r="E46" s="8" t="s">
        <v>209</v>
      </c>
      <c r="F46" s="10">
        <v>100</v>
      </c>
      <c r="I46" s="14"/>
      <c r="K46" s="21"/>
    </row>
    <row r="47" spans="1:13" ht="14.15" customHeight="1" x14ac:dyDescent="0.4">
      <c r="A47" s="28" t="s">
        <v>26</v>
      </c>
      <c r="C47" s="19">
        <v>2531</v>
      </c>
      <c r="E47" s="8" t="s">
        <v>210</v>
      </c>
      <c r="F47" s="10">
        <v>100</v>
      </c>
      <c r="I47" s="14"/>
      <c r="K47" s="21"/>
    </row>
    <row r="48" spans="1:13" ht="14.15" customHeight="1" x14ac:dyDescent="0.4">
      <c r="A48" s="28" t="s">
        <v>26</v>
      </c>
      <c r="C48" s="19">
        <v>2532</v>
      </c>
      <c r="E48" s="8" t="s">
        <v>211</v>
      </c>
      <c r="F48" s="43">
        <v>500</v>
      </c>
      <c r="H48" s="7">
        <f>SUM(F43:F48)</f>
        <v>950</v>
      </c>
      <c r="I48" s="14"/>
      <c r="K48" s="21"/>
    </row>
    <row r="49" spans="1:13" ht="14.15" customHeight="1" x14ac:dyDescent="0.45">
      <c r="A49" s="28" t="s">
        <v>26</v>
      </c>
      <c r="C49" s="19">
        <v>2533</v>
      </c>
      <c r="E49" s="8" t="s">
        <v>174</v>
      </c>
      <c r="F49" s="104">
        <v>1500</v>
      </c>
      <c r="I49" s="14"/>
      <c r="K49" s="21"/>
      <c r="L49" s="103">
        <v>1500</v>
      </c>
      <c r="M49" s="58" t="s">
        <v>212</v>
      </c>
    </row>
    <row r="50" spans="1:13" ht="14.15" customHeight="1" x14ac:dyDescent="0.45">
      <c r="A50" s="28"/>
      <c r="C50" s="19"/>
      <c r="E50" s="8"/>
      <c r="F50" s="48"/>
      <c r="I50" s="14"/>
      <c r="K50" s="21"/>
      <c r="L50" s="103"/>
      <c r="M50" s="58"/>
    </row>
    <row r="51" spans="1:13" ht="14.15" customHeight="1" x14ac:dyDescent="0.45">
      <c r="A51" s="28"/>
      <c r="C51" s="19"/>
      <c r="E51" s="8"/>
      <c r="F51" s="48"/>
      <c r="I51" s="14"/>
      <c r="K51" s="21"/>
      <c r="L51" s="103"/>
      <c r="M51" s="58"/>
    </row>
    <row r="52" spans="1:13" ht="14.15" customHeight="1" x14ac:dyDescent="0.45">
      <c r="A52" s="28"/>
      <c r="C52" s="19"/>
      <c r="E52" s="8"/>
      <c r="F52" s="48"/>
      <c r="I52" s="14"/>
      <c r="K52" s="21"/>
      <c r="L52" s="103"/>
      <c r="M52" s="58"/>
    </row>
    <row r="53" spans="1:13" ht="14.15" customHeight="1" x14ac:dyDescent="0.45">
      <c r="A53" s="28"/>
      <c r="C53" s="19"/>
      <c r="E53" s="8"/>
      <c r="F53" s="48"/>
      <c r="I53" s="14"/>
      <c r="K53" s="21"/>
      <c r="L53" s="103"/>
      <c r="M53" s="58"/>
    </row>
    <row r="54" spans="1:13" ht="14.15" customHeight="1" x14ac:dyDescent="0.45">
      <c r="A54" s="28"/>
      <c r="C54" s="19"/>
      <c r="E54" s="8"/>
      <c r="F54" s="48"/>
      <c r="I54" s="14"/>
      <c r="K54" s="21"/>
      <c r="L54" s="103"/>
      <c r="M54" s="58"/>
    </row>
    <row r="55" spans="1:13" ht="14.15" customHeight="1" x14ac:dyDescent="0.45">
      <c r="A55" s="28"/>
      <c r="C55" s="19"/>
      <c r="E55" s="8"/>
      <c r="F55" s="48"/>
      <c r="I55" s="14"/>
      <c r="K55" s="21"/>
      <c r="L55" s="103"/>
      <c r="M55" s="58"/>
    </row>
    <row r="56" spans="1:13" ht="14.15" customHeight="1" x14ac:dyDescent="0.45">
      <c r="A56" s="28"/>
      <c r="C56" s="19"/>
      <c r="E56" s="8"/>
      <c r="F56" s="48"/>
      <c r="I56" s="14"/>
      <c r="K56" s="21"/>
      <c r="L56" s="103"/>
      <c r="M56" s="58"/>
    </row>
    <row r="57" spans="1:13" ht="14.15" customHeight="1" x14ac:dyDescent="0.45">
      <c r="A57" s="28"/>
      <c r="C57" s="19"/>
      <c r="E57" s="8"/>
      <c r="F57" s="48"/>
      <c r="I57" s="14"/>
      <c r="K57" s="21"/>
      <c r="L57" s="103"/>
      <c r="M57" s="58"/>
    </row>
    <row r="58" spans="1:13" ht="14.15" customHeight="1" x14ac:dyDescent="0.4">
      <c r="A58" s="28" t="s">
        <v>26</v>
      </c>
      <c r="C58" s="19">
        <v>2534</v>
      </c>
      <c r="E58" s="8" t="s">
        <v>213</v>
      </c>
      <c r="F58" s="10">
        <v>500</v>
      </c>
      <c r="H58" s="10">
        <v>500</v>
      </c>
      <c r="I58" s="14"/>
      <c r="K58" s="21"/>
    </row>
    <row r="59" spans="1:13" ht="14.15" customHeight="1" x14ac:dyDescent="0.4">
      <c r="A59" s="28" t="s">
        <v>36</v>
      </c>
      <c r="C59" s="19">
        <v>2535</v>
      </c>
      <c r="E59" s="8" t="s">
        <v>214</v>
      </c>
      <c r="F59" s="10">
        <v>100</v>
      </c>
      <c r="H59" s="10">
        <v>100</v>
      </c>
      <c r="I59" s="14"/>
      <c r="K59" s="21"/>
    </row>
    <row r="60" spans="1:13" ht="14.15" customHeight="1" x14ac:dyDescent="0.4">
      <c r="A60" s="28" t="s">
        <v>36</v>
      </c>
      <c r="C60" s="19">
        <v>2536</v>
      </c>
      <c r="E60" s="8" t="s">
        <v>23</v>
      </c>
      <c r="F60" s="48">
        <v>750</v>
      </c>
      <c r="I60" s="14"/>
      <c r="K60" s="21"/>
    </row>
    <row r="61" spans="1:13" ht="14.15" customHeight="1" x14ac:dyDescent="0.4">
      <c r="A61" s="28" t="s">
        <v>36</v>
      </c>
      <c r="C61" s="19">
        <v>2537</v>
      </c>
      <c r="E61" s="8" t="s">
        <v>190</v>
      </c>
      <c r="F61" s="48">
        <v>20</v>
      </c>
      <c r="I61" s="14"/>
      <c r="K61" s="21"/>
    </row>
    <row r="62" spans="1:13" ht="14.15" customHeight="1" x14ac:dyDescent="0.4">
      <c r="A62" s="28" t="s">
        <v>36</v>
      </c>
      <c r="C62" s="19">
        <v>2538</v>
      </c>
      <c r="E62" s="8" t="s">
        <v>177</v>
      </c>
      <c r="F62" s="41">
        <v>100</v>
      </c>
      <c r="H62" s="41">
        <v>100</v>
      </c>
      <c r="I62" s="14"/>
      <c r="K62" s="21"/>
    </row>
    <row r="63" spans="1:13" ht="14.15" customHeight="1" x14ac:dyDescent="0.4">
      <c r="A63" s="28" t="s">
        <v>36</v>
      </c>
      <c r="C63" s="19">
        <v>2539</v>
      </c>
      <c r="E63" s="8" t="s">
        <v>204</v>
      </c>
      <c r="F63" s="41">
        <v>300</v>
      </c>
      <c r="H63" s="41">
        <v>300</v>
      </c>
      <c r="I63" s="14"/>
      <c r="K63" s="21"/>
    </row>
    <row r="64" spans="1:13" ht="14.15" customHeight="1" x14ac:dyDescent="0.4">
      <c r="A64" s="28" t="s">
        <v>36</v>
      </c>
      <c r="C64" s="19">
        <v>2540</v>
      </c>
      <c r="E64" s="8" t="s">
        <v>192</v>
      </c>
      <c r="F64" s="48">
        <v>100</v>
      </c>
      <c r="I64" s="14"/>
      <c r="K64" s="21"/>
    </row>
    <row r="65" spans="1:13" ht="14.15" customHeight="1" x14ac:dyDescent="0.4">
      <c r="A65" s="28" t="s">
        <v>36</v>
      </c>
      <c r="C65" s="19">
        <v>2541</v>
      </c>
      <c r="E65" s="8" t="s">
        <v>215</v>
      </c>
      <c r="F65" s="48">
        <v>500</v>
      </c>
      <c r="H65" s="2"/>
      <c r="I65" s="14"/>
      <c r="K65" s="21"/>
    </row>
    <row r="66" spans="1:13" ht="14.15" customHeight="1" x14ac:dyDescent="0.4">
      <c r="A66" s="28" t="s">
        <v>36</v>
      </c>
      <c r="C66" s="19">
        <v>2542</v>
      </c>
      <c r="E66" s="8" t="s">
        <v>216</v>
      </c>
      <c r="F66" s="48">
        <v>110</v>
      </c>
      <c r="H66" s="105"/>
      <c r="I66" s="14"/>
      <c r="K66" s="21"/>
    </row>
    <row r="67" spans="1:13" ht="14.15" customHeight="1" x14ac:dyDescent="0.45">
      <c r="A67" s="28" t="s">
        <v>36</v>
      </c>
      <c r="C67" s="19"/>
      <c r="E67" s="8" t="s">
        <v>131</v>
      </c>
      <c r="F67" s="96">
        <v>20</v>
      </c>
      <c r="H67" s="105"/>
      <c r="I67" s="84">
        <v>1500</v>
      </c>
      <c r="J67" s="106"/>
      <c r="K67" s="21"/>
      <c r="L67" s="103">
        <v>1500</v>
      </c>
      <c r="M67" s="58" t="s">
        <v>217</v>
      </c>
    </row>
    <row r="68" spans="1:13" ht="14.15" customHeight="1" x14ac:dyDescent="0.4">
      <c r="A68" s="28" t="s">
        <v>27</v>
      </c>
      <c r="C68" s="19">
        <v>2543</v>
      </c>
      <c r="E68" s="8" t="s">
        <v>214</v>
      </c>
      <c r="F68" s="41">
        <v>100</v>
      </c>
      <c r="I68" s="84"/>
      <c r="J68" s="106"/>
      <c r="K68" s="21"/>
    </row>
    <row r="69" spans="1:13" ht="14.15" customHeight="1" x14ac:dyDescent="0.4">
      <c r="A69" s="28" t="s">
        <v>27</v>
      </c>
      <c r="C69" s="19">
        <v>2544</v>
      </c>
      <c r="E69" s="8" t="s">
        <v>192</v>
      </c>
      <c r="F69" s="41">
        <v>100</v>
      </c>
      <c r="I69" s="84"/>
      <c r="J69" s="106"/>
      <c r="K69" s="21"/>
    </row>
    <row r="70" spans="1:13" ht="14.15" customHeight="1" x14ac:dyDescent="0.45">
      <c r="A70" s="28" t="s">
        <v>27</v>
      </c>
      <c r="C70" s="19">
        <v>2545</v>
      </c>
      <c r="E70" s="8" t="s">
        <v>174</v>
      </c>
      <c r="F70" s="10">
        <v>1000</v>
      </c>
      <c r="I70" s="84"/>
      <c r="J70" s="106"/>
      <c r="K70" s="21"/>
      <c r="L70" s="57"/>
      <c r="M70" s="58"/>
    </row>
    <row r="71" spans="1:13" ht="14.15" customHeight="1" x14ac:dyDescent="0.45">
      <c r="A71" s="28" t="s">
        <v>11</v>
      </c>
      <c r="C71" s="19">
        <v>2546</v>
      </c>
      <c r="E71" s="8" t="s">
        <v>192</v>
      </c>
      <c r="F71" s="10">
        <v>100</v>
      </c>
      <c r="I71" s="84"/>
      <c r="J71" s="106"/>
      <c r="K71" s="21"/>
      <c r="L71" s="57"/>
      <c r="M71" s="58"/>
    </row>
    <row r="72" spans="1:13" ht="14.15" customHeight="1" x14ac:dyDescent="0.45">
      <c r="A72" s="28" t="s">
        <v>37</v>
      </c>
      <c r="C72" s="19">
        <v>2547</v>
      </c>
      <c r="E72" s="8" t="s">
        <v>180</v>
      </c>
      <c r="F72" s="10">
        <v>100</v>
      </c>
      <c r="I72" s="84"/>
      <c r="J72" s="106"/>
      <c r="K72" s="21"/>
      <c r="L72" s="57"/>
      <c r="M72" s="58"/>
    </row>
    <row r="73" spans="1:13" ht="14.15" customHeight="1" x14ac:dyDescent="0.45">
      <c r="A73" s="28" t="s">
        <v>37</v>
      </c>
      <c r="C73" s="19">
        <v>2548</v>
      </c>
      <c r="E73" s="8" t="s">
        <v>218</v>
      </c>
      <c r="F73" s="43">
        <v>100</v>
      </c>
      <c r="I73" s="84">
        <f>SUM(F68:F73)</f>
        <v>1500</v>
      </c>
      <c r="J73" s="106"/>
      <c r="K73" s="21"/>
      <c r="L73" s="103">
        <v>1500</v>
      </c>
      <c r="M73" s="58" t="s">
        <v>219</v>
      </c>
    </row>
    <row r="74" spans="1:13" ht="14.15" customHeight="1" x14ac:dyDescent="0.45">
      <c r="A74" s="28" t="s">
        <v>37</v>
      </c>
      <c r="C74" s="19">
        <v>2549</v>
      </c>
      <c r="E74" s="8" t="s">
        <v>204</v>
      </c>
      <c r="F74" s="10">
        <v>50</v>
      </c>
      <c r="I74" s="84"/>
      <c r="J74" s="106"/>
      <c r="K74" s="21"/>
      <c r="L74" s="57"/>
      <c r="M74" s="58"/>
    </row>
    <row r="75" spans="1:13" ht="14.15" customHeight="1" x14ac:dyDescent="0.45">
      <c r="A75" s="28" t="s">
        <v>37</v>
      </c>
      <c r="C75" s="19">
        <v>2550</v>
      </c>
      <c r="E75" s="8" t="s">
        <v>178</v>
      </c>
      <c r="F75" s="10">
        <v>100</v>
      </c>
      <c r="I75" s="84"/>
      <c r="J75" s="106"/>
      <c r="K75" s="21"/>
      <c r="L75" s="57"/>
      <c r="M75" s="58"/>
    </row>
    <row r="76" spans="1:13" ht="14.15" customHeight="1" x14ac:dyDescent="0.45">
      <c r="A76" s="28" t="s">
        <v>151</v>
      </c>
      <c r="C76" s="19">
        <v>2551</v>
      </c>
      <c r="E76" s="8" t="s">
        <v>220</v>
      </c>
      <c r="F76" s="10">
        <v>100</v>
      </c>
      <c r="I76" s="84"/>
      <c r="J76" s="106"/>
      <c r="K76" s="21"/>
      <c r="L76" s="57"/>
      <c r="M76" s="58"/>
    </row>
    <row r="77" spans="1:13" ht="14.15" customHeight="1" x14ac:dyDescent="0.45">
      <c r="A77" s="28" t="s">
        <v>151</v>
      </c>
      <c r="C77" s="19">
        <v>2552</v>
      </c>
      <c r="E77" s="8" t="s">
        <v>192</v>
      </c>
      <c r="F77" s="10">
        <v>100</v>
      </c>
      <c r="I77" s="84"/>
      <c r="J77" s="106"/>
      <c r="K77" s="21"/>
      <c r="L77" s="57"/>
      <c r="M77" s="58"/>
    </row>
    <row r="78" spans="1:13" ht="14.15" customHeight="1" x14ac:dyDescent="0.45">
      <c r="A78" s="28" t="s">
        <v>151</v>
      </c>
      <c r="C78" s="19">
        <v>2553</v>
      </c>
      <c r="E78" s="8" t="s">
        <v>167</v>
      </c>
      <c r="F78" s="10">
        <v>100</v>
      </c>
      <c r="I78" s="84"/>
      <c r="J78" s="106"/>
      <c r="K78" s="21"/>
      <c r="L78" s="57"/>
      <c r="M78" s="58"/>
    </row>
    <row r="79" spans="1:13" ht="14.15" customHeight="1" x14ac:dyDescent="0.45">
      <c r="A79" s="28" t="s">
        <v>151</v>
      </c>
      <c r="C79" s="19">
        <v>2554</v>
      </c>
      <c r="E79" s="8" t="s">
        <v>221</v>
      </c>
      <c r="F79" s="10">
        <v>100</v>
      </c>
      <c r="I79" s="84"/>
      <c r="J79" s="106"/>
      <c r="K79" s="21"/>
      <c r="L79" s="57"/>
      <c r="M79" s="58"/>
    </row>
    <row r="80" spans="1:13" ht="14.15" customHeight="1" x14ac:dyDescent="0.45">
      <c r="A80" s="28" t="s">
        <v>151</v>
      </c>
      <c r="C80" s="19">
        <v>2555</v>
      </c>
      <c r="E80" s="8" t="s">
        <v>211</v>
      </c>
      <c r="F80" s="10">
        <v>300</v>
      </c>
      <c r="I80" s="84"/>
      <c r="J80" s="106"/>
      <c r="K80" s="21"/>
      <c r="L80" s="57"/>
      <c r="M80" s="58"/>
    </row>
    <row r="81" spans="1:13" ht="14.15" customHeight="1" x14ac:dyDescent="0.45">
      <c r="A81" s="28" t="s">
        <v>151</v>
      </c>
      <c r="C81" s="19">
        <v>2556</v>
      </c>
      <c r="E81" s="17" t="s">
        <v>222</v>
      </c>
      <c r="F81" s="43">
        <v>200</v>
      </c>
      <c r="H81" s="2"/>
      <c r="I81" s="84">
        <f>SUM(F74:F81)</f>
        <v>1050</v>
      </c>
      <c r="J81" s="106"/>
      <c r="K81" s="21">
        <v>450</v>
      </c>
      <c r="L81" s="103">
        <v>1500</v>
      </c>
      <c r="M81" s="58" t="s">
        <v>223</v>
      </c>
    </row>
    <row r="82" spans="1:13" ht="14.15" customHeight="1" x14ac:dyDescent="0.45">
      <c r="A82" s="28"/>
      <c r="C82" s="19"/>
      <c r="E82" s="17" t="s">
        <v>224</v>
      </c>
      <c r="F82" s="96">
        <v>1500</v>
      </c>
      <c r="H82" s="2"/>
      <c r="I82" s="14"/>
      <c r="K82" s="21"/>
      <c r="L82" s="103">
        <v>1500</v>
      </c>
      <c r="M82" s="58" t="s">
        <v>161</v>
      </c>
    </row>
    <row r="83" spans="1:13" ht="14.15" customHeight="1" x14ac:dyDescent="0.45">
      <c r="A83" s="28" t="s">
        <v>151</v>
      </c>
      <c r="C83" s="19">
        <v>2557</v>
      </c>
      <c r="E83" s="17" t="s">
        <v>149</v>
      </c>
      <c r="F83" s="104">
        <v>1500</v>
      </c>
      <c r="H83" s="2"/>
      <c r="I83" s="14"/>
      <c r="K83" s="21"/>
      <c r="L83" s="103">
        <v>1500</v>
      </c>
      <c r="M83" s="58" t="s">
        <v>228</v>
      </c>
    </row>
    <row r="84" spans="1:13" ht="14.15" customHeight="1" x14ac:dyDescent="0.45">
      <c r="A84" s="28" t="s">
        <v>225</v>
      </c>
      <c r="C84" s="19">
        <v>2558</v>
      </c>
      <c r="E84" s="17" t="s">
        <v>192</v>
      </c>
      <c r="F84" s="10">
        <v>100</v>
      </c>
      <c r="H84" s="2">
        <v>100</v>
      </c>
      <c r="I84" s="14"/>
      <c r="K84" s="21"/>
      <c r="L84" s="4"/>
      <c r="M84" s="56"/>
    </row>
    <row r="85" spans="1:13" ht="14.15" customHeight="1" x14ac:dyDescent="0.45">
      <c r="A85" s="28" t="s">
        <v>225</v>
      </c>
      <c r="C85" s="19">
        <v>2559</v>
      </c>
      <c r="E85" s="17" t="s">
        <v>206</v>
      </c>
      <c r="F85" s="15">
        <v>1500</v>
      </c>
      <c r="H85" s="2"/>
      <c r="I85" s="14"/>
      <c r="K85" s="21"/>
      <c r="L85" s="103">
        <v>1500</v>
      </c>
      <c r="M85" s="58" t="s">
        <v>229</v>
      </c>
    </row>
    <row r="86" spans="1:13" ht="14.15" customHeight="1" x14ac:dyDescent="0.45">
      <c r="A86" s="28" t="s">
        <v>225</v>
      </c>
      <c r="C86" s="19">
        <v>2560</v>
      </c>
      <c r="E86" s="17" t="s">
        <v>44</v>
      </c>
      <c r="F86" s="10">
        <v>100</v>
      </c>
      <c r="H86" s="2">
        <v>100</v>
      </c>
      <c r="I86" s="14"/>
      <c r="K86" s="21"/>
      <c r="L86" s="4"/>
      <c r="M86" s="56"/>
    </row>
    <row r="87" spans="1:13" ht="14.15" customHeight="1" x14ac:dyDescent="0.45">
      <c r="A87" s="28"/>
      <c r="C87" s="19">
        <v>2561</v>
      </c>
      <c r="E87" s="17" t="s">
        <v>226</v>
      </c>
      <c r="F87" s="10"/>
      <c r="H87" s="2"/>
      <c r="I87" s="14"/>
      <c r="K87" s="21"/>
      <c r="L87" s="4"/>
      <c r="M87" s="56"/>
    </row>
    <row r="88" spans="1:13" ht="14.15" customHeight="1" x14ac:dyDescent="0.45">
      <c r="A88" s="28" t="s">
        <v>227</v>
      </c>
      <c r="C88" s="19">
        <v>2562</v>
      </c>
      <c r="E88" s="17" t="s">
        <v>171</v>
      </c>
      <c r="F88" s="15">
        <v>3000</v>
      </c>
      <c r="G88" s="3"/>
      <c r="H88" s="99">
        <v>3000</v>
      </c>
      <c r="I88" s="14"/>
      <c r="K88" s="21"/>
      <c r="L88" s="4"/>
      <c r="M88" s="56"/>
    </row>
    <row r="89" spans="1:13" ht="14.15" customHeight="1" x14ac:dyDescent="0.45">
      <c r="A89" s="28"/>
      <c r="C89" s="19"/>
      <c r="E89" s="19"/>
      <c r="F89" s="10"/>
      <c r="H89" s="107"/>
      <c r="I89" s="14"/>
      <c r="K89" s="21"/>
      <c r="L89" s="4"/>
      <c r="M89" s="56"/>
    </row>
    <row r="90" spans="1:13" ht="14.15" customHeight="1" x14ac:dyDescent="0.45">
      <c r="A90" s="28"/>
      <c r="C90" s="19"/>
      <c r="E90" s="19"/>
      <c r="F90" s="10"/>
      <c r="I90" s="14"/>
      <c r="K90" s="21"/>
      <c r="L90" s="4"/>
      <c r="M90" s="56"/>
    </row>
    <row r="91" spans="1:13" ht="14.15" customHeight="1" x14ac:dyDescent="0.45">
      <c r="A91" s="28"/>
      <c r="C91" s="6"/>
      <c r="E91" s="19" t="s">
        <v>230</v>
      </c>
      <c r="F91" s="10"/>
      <c r="H91" s="7">
        <f>SUM(H10:H88)</f>
        <v>6550</v>
      </c>
      <c r="I91" s="14"/>
      <c r="K91" s="21"/>
      <c r="L91" s="4"/>
      <c r="M91" s="56"/>
    </row>
    <row r="92" spans="1:13" ht="14.15" customHeight="1" x14ac:dyDescent="0.45">
      <c r="A92" s="28"/>
      <c r="C92" s="6"/>
      <c r="E92" s="19"/>
      <c r="F92" s="15"/>
      <c r="I92" s="14"/>
      <c r="K92" s="19"/>
      <c r="L92" s="4"/>
      <c r="M92" s="56"/>
    </row>
    <row r="93" spans="1:13" ht="14.15" customHeight="1" x14ac:dyDescent="0.4">
      <c r="A93" s="8"/>
      <c r="B93" s="8"/>
      <c r="C93" s="8" t="s">
        <v>13</v>
      </c>
      <c r="D93" s="8"/>
      <c r="E93" s="8"/>
      <c r="F93" s="8"/>
      <c r="G93" s="8"/>
      <c r="H93" s="8"/>
      <c r="I93" s="8"/>
      <c r="J93" s="8"/>
      <c r="K93" s="8"/>
    </row>
    <row r="94" spans="1:13" ht="14.15" customHeight="1" x14ac:dyDescent="0.4">
      <c r="A94" s="8"/>
      <c r="B94" s="8"/>
      <c r="C94" s="8"/>
      <c r="D94" s="8"/>
      <c r="E94" s="22"/>
      <c r="F94" s="8"/>
      <c r="G94" s="8"/>
      <c r="H94" s="8"/>
      <c r="I94" s="8"/>
      <c r="J94" s="8"/>
      <c r="K94" s="8"/>
    </row>
    <row r="95" spans="1:13" ht="14.15" customHeight="1" x14ac:dyDescent="0.4">
      <c r="A95" s="8"/>
      <c r="B95" s="8"/>
      <c r="C95" s="8"/>
      <c r="D95" s="8"/>
      <c r="E95" s="19"/>
      <c r="F95" s="8"/>
      <c r="G95" s="8"/>
      <c r="H95" s="8"/>
      <c r="I95" s="8"/>
      <c r="J95" s="8"/>
      <c r="K95" s="8"/>
    </row>
    <row r="96" spans="1:13" ht="15.45" x14ac:dyDescent="0.4">
      <c r="A96" s="8"/>
      <c r="B96" s="8"/>
      <c r="C96" s="8"/>
      <c r="D96" s="8"/>
      <c r="E96" s="19"/>
      <c r="F96" s="8"/>
      <c r="G96" s="8"/>
      <c r="H96" s="8"/>
      <c r="I96" s="8"/>
      <c r="J96" s="8"/>
      <c r="K96" s="8"/>
    </row>
    <row r="97" spans="1:11" ht="15.45" x14ac:dyDescent="0.4">
      <c r="A97" s="8"/>
      <c r="B97" s="8"/>
      <c r="C97" s="8"/>
      <c r="D97" s="8"/>
      <c r="E97" s="19"/>
      <c r="F97" s="8"/>
      <c r="G97" s="8"/>
      <c r="H97" s="8"/>
      <c r="I97" s="8"/>
      <c r="J97" s="8"/>
      <c r="K97" s="8"/>
    </row>
    <row r="98" spans="1:11" ht="15.45" x14ac:dyDescent="0.4">
      <c r="A98" s="8"/>
      <c r="B98" s="8"/>
      <c r="C98" s="8"/>
      <c r="D98" s="8"/>
      <c r="E98" s="19"/>
      <c r="F98" s="8"/>
      <c r="G98" s="8"/>
      <c r="H98" s="8"/>
      <c r="I98" s="8"/>
      <c r="J98" s="8"/>
      <c r="K98" s="8"/>
    </row>
    <row r="99" spans="1:11" ht="15.45" x14ac:dyDescent="0.4">
      <c r="A99" s="8"/>
      <c r="B99" s="8"/>
      <c r="C99" s="8"/>
      <c r="D99" s="8"/>
      <c r="E99" s="19"/>
      <c r="F99" s="8"/>
      <c r="G99" s="8"/>
      <c r="H99" s="8"/>
      <c r="I99" s="8"/>
      <c r="J99" s="8"/>
      <c r="K99" s="8"/>
    </row>
    <row r="100" spans="1:11" ht="15.45" x14ac:dyDescent="0.4">
      <c r="A100" s="8"/>
      <c r="B100" s="8"/>
      <c r="C100" s="8"/>
      <c r="D100" s="8"/>
      <c r="E100" s="19"/>
      <c r="F100" s="8"/>
      <c r="G100" s="8"/>
      <c r="H100" s="8"/>
      <c r="I100" s="8"/>
      <c r="J100" s="8"/>
      <c r="K100" s="8"/>
    </row>
    <row r="101" spans="1:11" ht="15.45" x14ac:dyDescent="0.4">
      <c r="A101" s="8"/>
      <c r="B101" s="8"/>
      <c r="C101" s="8"/>
      <c r="D101" s="8"/>
      <c r="E101" s="19"/>
      <c r="F101" s="8"/>
      <c r="G101" s="8"/>
      <c r="H101" s="8"/>
      <c r="I101" s="8"/>
      <c r="J101" s="8"/>
      <c r="K101" s="8"/>
    </row>
    <row r="102" spans="1:11" ht="15.45" x14ac:dyDescent="0.4">
      <c r="A102" s="8"/>
      <c r="B102" s="8"/>
      <c r="C102" s="8"/>
      <c r="D102" s="8"/>
      <c r="E102" s="19"/>
      <c r="F102" s="8"/>
      <c r="G102" s="8"/>
      <c r="H102" s="8"/>
      <c r="I102" s="8"/>
      <c r="J102" s="8"/>
      <c r="K102" s="8"/>
    </row>
    <row r="103" spans="1:11" ht="15.45" x14ac:dyDescent="0.4">
      <c r="A103" s="8"/>
      <c r="B103" s="8"/>
      <c r="C103" s="8"/>
      <c r="D103" s="8"/>
      <c r="E103" s="19"/>
      <c r="F103" s="8"/>
      <c r="G103" s="8"/>
      <c r="H103" s="8"/>
      <c r="I103" s="8"/>
      <c r="J103" s="8"/>
      <c r="K103" s="8"/>
    </row>
    <row r="104" spans="1:11" ht="15.45" x14ac:dyDescent="0.4">
      <c r="A104" s="8"/>
      <c r="B104" s="8"/>
      <c r="C104" s="8"/>
      <c r="D104" s="8"/>
      <c r="E104" s="19"/>
      <c r="F104" s="8"/>
      <c r="G104" s="8"/>
      <c r="H104" s="8"/>
      <c r="I104" s="8"/>
      <c r="J104" s="8"/>
      <c r="K104" s="8"/>
    </row>
    <row r="105" spans="1:11" ht="15.45" x14ac:dyDescent="0.4">
      <c r="A105" s="8"/>
      <c r="B105" s="8"/>
      <c r="C105" s="8"/>
      <c r="D105" s="8"/>
      <c r="E105" s="19"/>
      <c r="F105" s="8"/>
      <c r="G105" s="8"/>
      <c r="H105" s="8"/>
      <c r="I105" s="8"/>
      <c r="J105" s="8"/>
      <c r="K105" s="8"/>
    </row>
    <row r="109" spans="1:11" ht="13.5" customHeight="1" x14ac:dyDescent="0.4">
      <c r="A109" s="23" t="s">
        <v>79</v>
      </c>
      <c r="B109" s="8"/>
      <c r="C109" s="8"/>
      <c r="D109" s="8"/>
      <c r="E109" s="8"/>
      <c r="F109" s="8"/>
      <c r="G109" s="8"/>
      <c r="H109" s="19" t="s">
        <v>77</v>
      </c>
      <c r="I109" s="19" t="s">
        <v>65</v>
      </c>
      <c r="J109" s="8"/>
      <c r="K109" s="19"/>
    </row>
    <row r="110" spans="1:11" ht="15.45" x14ac:dyDescent="0.4">
      <c r="A110" s="20" t="s">
        <v>5</v>
      </c>
      <c r="B110" s="8"/>
      <c r="C110" s="8"/>
      <c r="D110" s="8"/>
      <c r="E110" s="20" t="s">
        <v>19</v>
      </c>
      <c r="F110" s="19"/>
      <c r="G110" s="8"/>
      <c r="H110" s="20" t="s">
        <v>2</v>
      </c>
      <c r="I110" s="20" t="s">
        <v>2</v>
      </c>
      <c r="J110" s="8"/>
      <c r="K110" s="19"/>
    </row>
    <row r="111" spans="1:11" ht="15.45" x14ac:dyDescent="0.4">
      <c r="A111" s="38" t="s">
        <v>78</v>
      </c>
      <c r="E111" s="8"/>
      <c r="F111" s="10"/>
      <c r="G111" s="10"/>
      <c r="H111" s="10"/>
      <c r="I111" s="10"/>
      <c r="J111" s="10"/>
      <c r="K111" s="15"/>
    </row>
    <row r="112" spans="1:11" ht="15.45" x14ac:dyDescent="0.4">
      <c r="A112" s="31" t="s">
        <v>7</v>
      </c>
      <c r="C112" s="35"/>
      <c r="E112" s="8"/>
      <c r="F112" s="10">
        <v>770</v>
      </c>
      <c r="G112" s="10"/>
      <c r="H112" s="10">
        <v>230</v>
      </c>
      <c r="I112" s="10">
        <v>1000</v>
      </c>
      <c r="J112" s="8"/>
      <c r="K112" s="10"/>
    </row>
    <row r="113" spans="1:11" ht="15.45" x14ac:dyDescent="0.4">
      <c r="A113" s="31" t="s">
        <v>68</v>
      </c>
      <c r="E113" s="8"/>
      <c r="F113" s="10">
        <v>650</v>
      </c>
      <c r="G113" s="8"/>
      <c r="H113" s="10">
        <v>350</v>
      </c>
      <c r="I113" s="10">
        <v>1000</v>
      </c>
      <c r="J113" s="8"/>
      <c r="K113" s="8"/>
    </row>
    <row r="114" spans="1:11" ht="15.45" x14ac:dyDescent="0.4">
      <c r="A114" s="26">
        <v>15</v>
      </c>
      <c r="B114" s="8"/>
      <c r="C114" s="8" t="s">
        <v>32</v>
      </c>
      <c r="D114" s="8"/>
      <c r="E114" s="8"/>
      <c r="F114" s="10">
        <v>1250</v>
      </c>
      <c r="G114" s="10">
        <v>1000</v>
      </c>
      <c r="H114" s="10">
        <v>250</v>
      </c>
      <c r="I114" s="10">
        <v>1500</v>
      </c>
      <c r="J114" s="8"/>
      <c r="K114" s="8"/>
    </row>
    <row r="115" spans="1:11" ht="15.45" x14ac:dyDescent="0.4">
      <c r="A115" s="29" t="s">
        <v>34</v>
      </c>
      <c r="B115" s="8"/>
      <c r="C115" s="8" t="s">
        <v>32</v>
      </c>
      <c r="D115" s="8"/>
      <c r="E115" s="8"/>
      <c r="F115" s="10">
        <v>650</v>
      </c>
      <c r="G115" s="10">
        <v>1000</v>
      </c>
      <c r="H115" s="94">
        <v>850</v>
      </c>
      <c r="I115" s="94">
        <v>1500</v>
      </c>
      <c r="J115" s="8"/>
      <c r="K115" s="8"/>
    </row>
    <row r="116" spans="1:11" ht="15.45" x14ac:dyDescent="0.4">
      <c r="A116" s="29" t="s">
        <v>9</v>
      </c>
      <c r="B116" s="8"/>
      <c r="C116" s="8" t="s">
        <v>32</v>
      </c>
      <c r="D116" s="8"/>
      <c r="E116" s="6" t="s">
        <v>121</v>
      </c>
      <c r="F116" s="10">
        <v>1500</v>
      </c>
      <c r="G116" s="10">
        <v>1000</v>
      </c>
      <c r="H116" s="94"/>
      <c r="I116" s="10">
        <v>1500</v>
      </c>
      <c r="J116" s="8"/>
      <c r="K116" s="8"/>
    </row>
    <row r="117" spans="1:11" ht="15.45" x14ac:dyDescent="0.4">
      <c r="A117" s="29" t="s">
        <v>35</v>
      </c>
      <c r="B117" s="8"/>
      <c r="C117" s="8" t="s">
        <v>32</v>
      </c>
      <c r="D117" s="8"/>
      <c r="E117" s="8" t="s">
        <v>206</v>
      </c>
      <c r="F117" s="10">
        <v>1500</v>
      </c>
      <c r="G117" s="10">
        <v>1000</v>
      </c>
      <c r="H117" s="10"/>
      <c r="I117" s="10">
        <v>1500</v>
      </c>
      <c r="J117" s="8"/>
      <c r="K117" s="8"/>
    </row>
    <row r="118" spans="1:11" ht="15.45" x14ac:dyDescent="0.4">
      <c r="A118" s="29" t="s">
        <v>26</v>
      </c>
      <c r="B118" s="8"/>
      <c r="C118" s="8" t="s">
        <v>32</v>
      </c>
      <c r="D118" s="8"/>
      <c r="E118" s="8" t="s">
        <v>174</v>
      </c>
      <c r="F118" s="10">
        <v>1500</v>
      </c>
      <c r="G118" s="10">
        <v>1000</v>
      </c>
      <c r="H118" s="10"/>
      <c r="I118" s="10">
        <v>1500</v>
      </c>
      <c r="J118" s="8"/>
      <c r="K118" s="8"/>
    </row>
    <row r="119" spans="1:11" ht="15.45" x14ac:dyDescent="0.4">
      <c r="A119" s="29" t="s">
        <v>36</v>
      </c>
      <c r="B119" s="8"/>
      <c r="C119" s="8" t="s">
        <v>32</v>
      </c>
      <c r="D119" s="8"/>
      <c r="E119" s="8" t="s">
        <v>23</v>
      </c>
      <c r="F119" s="10">
        <v>750</v>
      </c>
      <c r="G119" s="10">
        <v>1000</v>
      </c>
      <c r="H119" s="10">
        <v>750</v>
      </c>
      <c r="I119" s="10">
        <v>1500</v>
      </c>
      <c r="J119" s="8"/>
      <c r="K119" s="8"/>
    </row>
    <row r="120" spans="1:11" ht="15.45" x14ac:dyDescent="0.4">
      <c r="A120" s="29" t="s">
        <v>27</v>
      </c>
      <c r="B120" s="8"/>
      <c r="C120" s="8" t="s">
        <v>32</v>
      </c>
      <c r="D120" s="8"/>
      <c r="E120" s="6"/>
      <c r="F120" s="10">
        <v>1500</v>
      </c>
      <c r="G120" s="10">
        <v>1000</v>
      </c>
      <c r="H120" s="10"/>
      <c r="I120" s="10">
        <v>1500</v>
      </c>
      <c r="J120" s="8"/>
      <c r="K120" s="8"/>
    </row>
    <row r="121" spans="1:11" ht="15.45" x14ac:dyDescent="0.4">
      <c r="A121" s="29" t="s">
        <v>11</v>
      </c>
      <c r="B121" s="8"/>
      <c r="C121" s="8" t="s">
        <v>32</v>
      </c>
      <c r="D121" s="8"/>
      <c r="E121" s="8"/>
      <c r="F121" s="10">
        <v>1050</v>
      </c>
      <c r="G121" s="10">
        <v>1000</v>
      </c>
      <c r="H121" s="94">
        <v>450</v>
      </c>
      <c r="I121" s="94">
        <v>1500</v>
      </c>
      <c r="J121" s="8"/>
      <c r="K121" s="8"/>
    </row>
    <row r="122" spans="1:11" ht="15.45" x14ac:dyDescent="0.4">
      <c r="A122" s="29" t="s">
        <v>37</v>
      </c>
      <c r="B122" s="8"/>
      <c r="C122" s="8" t="s">
        <v>32</v>
      </c>
      <c r="D122" s="8"/>
      <c r="E122" s="8" t="s">
        <v>231</v>
      </c>
      <c r="F122" s="10">
        <v>1500</v>
      </c>
      <c r="G122" s="10">
        <v>1000</v>
      </c>
      <c r="H122" s="10"/>
      <c r="I122" s="10">
        <v>1500</v>
      </c>
      <c r="J122" s="8"/>
      <c r="K122" s="8"/>
    </row>
    <row r="123" spans="1:11" ht="15.45" x14ac:dyDescent="0.4">
      <c r="A123" s="25">
        <v>25</v>
      </c>
      <c r="B123" s="8"/>
      <c r="C123" s="6" t="s">
        <v>38</v>
      </c>
      <c r="D123" s="8"/>
      <c r="E123" s="8" t="s">
        <v>149</v>
      </c>
      <c r="F123" s="10">
        <v>1500</v>
      </c>
      <c r="G123" s="10"/>
      <c r="H123" s="10"/>
      <c r="I123" s="10">
        <v>1500</v>
      </c>
      <c r="J123" s="8"/>
      <c r="K123" s="8"/>
    </row>
    <row r="124" spans="1:11" ht="15.45" x14ac:dyDescent="0.4">
      <c r="A124" s="108" t="s">
        <v>225</v>
      </c>
      <c r="B124" s="8"/>
      <c r="C124" s="6"/>
      <c r="D124" s="8"/>
      <c r="E124" s="6" t="s">
        <v>206</v>
      </c>
      <c r="F124" s="10">
        <v>1500</v>
      </c>
      <c r="G124" s="10">
        <v>1000</v>
      </c>
      <c r="H124" s="10"/>
      <c r="I124" s="10">
        <v>1500</v>
      </c>
      <c r="J124" s="8"/>
      <c r="K124" s="8"/>
    </row>
    <row r="125" spans="1:11" ht="15.45" x14ac:dyDescent="0.4">
      <c r="A125" s="32"/>
      <c r="C125" s="5"/>
      <c r="E125" s="8"/>
      <c r="F125" s="10"/>
      <c r="H125" s="10"/>
      <c r="I125" s="2"/>
      <c r="K125" s="10"/>
    </row>
    <row r="126" spans="1:11" ht="15.45" x14ac:dyDescent="0.4">
      <c r="A126" s="1"/>
      <c r="C126" s="5"/>
      <c r="E126" s="8"/>
      <c r="F126" s="10"/>
    </row>
    <row r="127" spans="1:11" ht="15.45" x14ac:dyDescent="0.4">
      <c r="E127" s="8"/>
    </row>
    <row r="128" spans="1:11" ht="15.45" x14ac:dyDescent="0.4">
      <c r="E128" s="8"/>
      <c r="F128" s="7"/>
    </row>
  </sheetData>
  <pageMargins left="0.45" right="0.45" top="0.5" bottom="0.25" header="0.3" footer="0.3"/>
  <pageSetup orientation="portrait" horizontalDpi="4294967293" verticalDpi="0"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"/>
  <sheetViews>
    <sheetView topLeftCell="A4" workbookViewId="0"/>
  </sheetViews>
  <sheetFormatPr defaultRowHeight="14.6" x14ac:dyDescent="0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49</vt:i4>
      </vt:variant>
      <vt:variant>
        <vt:lpstr>Named Ranges</vt:lpstr>
      </vt:variant>
      <vt:variant>
        <vt:i4>2</vt:i4>
      </vt:variant>
    </vt:vector>
  </HeadingPairs>
  <TitlesOfParts>
    <vt:vector size="51" baseType="lpstr">
      <vt:lpstr>Jan_2024_FinancialReport</vt:lpstr>
      <vt:lpstr>Jan. 2024_AckReceipt</vt:lpstr>
      <vt:lpstr>FEB_2024_Sched A</vt:lpstr>
      <vt:lpstr>FEB_2024_FR</vt:lpstr>
      <vt:lpstr>Mar_2024_FR</vt:lpstr>
      <vt:lpstr>Mar_2024_Sched A</vt:lpstr>
      <vt:lpstr>April_2024_FR</vt:lpstr>
      <vt:lpstr>April_2024_Sched A</vt:lpstr>
      <vt:lpstr>May-2024_FR</vt:lpstr>
      <vt:lpstr>May-2024-Sched A</vt:lpstr>
      <vt:lpstr>June-2024-FR</vt:lpstr>
      <vt:lpstr>June-2024-SchedA</vt:lpstr>
      <vt:lpstr>July-2024-FR</vt:lpstr>
      <vt:lpstr>July-2024-Sched A</vt:lpstr>
      <vt:lpstr>Aug-2024-FR</vt:lpstr>
      <vt:lpstr>Aug-2024-Sched A</vt:lpstr>
      <vt:lpstr>Sept-2024-FR</vt:lpstr>
      <vt:lpstr>Sept-2024-Sched A</vt:lpstr>
      <vt:lpstr>Oct-2024-FR</vt:lpstr>
      <vt:lpstr>Oct-2024-Sched A</vt:lpstr>
      <vt:lpstr>Oct - Fiesta-details</vt:lpstr>
      <vt:lpstr>Nov-2024-FR</vt:lpstr>
      <vt:lpstr>Nov-2024-Sched A</vt:lpstr>
      <vt:lpstr>Dec-2024-FR</vt:lpstr>
      <vt:lpstr>Dec-2024-Sched A</vt:lpstr>
      <vt:lpstr>Jan-2025-FR</vt:lpstr>
      <vt:lpstr>Jan-2025-Sched A</vt:lpstr>
      <vt:lpstr>Feb- 2025-FR</vt:lpstr>
      <vt:lpstr>Feb-2025-Sched A</vt:lpstr>
      <vt:lpstr>March-2025-FR</vt:lpstr>
      <vt:lpstr>Mar 2025 Sched A</vt:lpstr>
      <vt:lpstr>Apr-2025-FR</vt:lpstr>
      <vt:lpstr>Apr 2025 Sched A</vt:lpstr>
      <vt:lpstr>May-2025-FR</vt:lpstr>
      <vt:lpstr>May 2025 Sched A</vt:lpstr>
      <vt:lpstr>Jun 2025 FR</vt:lpstr>
      <vt:lpstr>June 2025 Sched A</vt:lpstr>
      <vt:lpstr>July 2025 FR</vt:lpstr>
      <vt:lpstr>July 2025 Sched A</vt:lpstr>
      <vt:lpstr>April 2021</vt:lpstr>
      <vt:lpstr>May 2021</vt:lpstr>
      <vt:lpstr>June 2022</vt:lpstr>
      <vt:lpstr>July 2022</vt:lpstr>
      <vt:lpstr>Aug. 2022</vt:lpstr>
      <vt:lpstr>Sept. 2022</vt:lpstr>
      <vt:lpstr>Oct. 2023</vt:lpstr>
      <vt:lpstr>Nov. 2023</vt:lpstr>
      <vt:lpstr>Dec. 2023</vt:lpstr>
      <vt:lpstr>Sheet1</vt:lpstr>
      <vt:lpstr>'Dec-2024-FR'!Print_Titles</vt:lpstr>
      <vt:lpstr>'Dec-2024-Sched A'!Print_Titles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Tina</dc:creator>
  <cp:lastModifiedBy>user3</cp:lastModifiedBy>
  <cp:lastPrinted>2025-08-26T03:58:23Z</cp:lastPrinted>
  <dcterms:created xsi:type="dcterms:W3CDTF">2016-05-06T05:35:21Z</dcterms:created>
  <dcterms:modified xsi:type="dcterms:W3CDTF">2025-08-26T04:00:22Z</dcterms:modified>
</cp:coreProperties>
</file>